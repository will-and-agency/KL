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kdk-my.sharepoint.com/personal/sueri_fmk_dk/Documents/"/>
    </mc:Choice>
  </mc:AlternateContent>
  <xr:revisionPtr revIDLastSave="0" documentId="8_{7CB6BF46-E6B6-4010-9452-506561DA35DC}" xr6:coauthVersionLast="47" xr6:coauthVersionMax="47" xr10:uidLastSave="{00000000-0000-0000-0000-000000000000}"/>
  <bookViews>
    <workbookView xWindow="1464" yWindow="1464" windowWidth="15108" windowHeight="8604" tabRatio="740" firstSheet="1" activeTab="1" xr2:uid="{00000000-000D-0000-FFFF-FFFF00000000}"/>
  </bookViews>
  <sheets>
    <sheet name="Uglen - Forbrug 2022-24" sheetId="2" r:id="rId1"/>
    <sheet name="Logbog Uglen fra 2024" sheetId="32" r:id="rId2"/>
    <sheet name="Terminer 2025" sheetId="33" r:id="rId3"/>
    <sheet name="Logbog Hallen Uglen" sheetId="34" r:id="rId4"/>
    <sheet name="Brand krav 2025" sheetId="35" r:id="rId5"/>
    <sheet name="Gammel Logbog Uglen" sheetId="28" r:id="rId6"/>
    <sheet name="Uglen - Brand " sheetId="4" r:id="rId7"/>
    <sheet name="Brandkrav" sheetId="29" r:id="rId8"/>
    <sheet name="Terminer 2024" sheetId="3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4" i="2" l="1"/>
  <c r="S65" i="2"/>
  <c r="S66" i="2"/>
  <c r="S67" i="2"/>
  <c r="S68" i="2"/>
  <c r="S69" i="2"/>
  <c r="S70" i="2"/>
  <c r="S71" i="2"/>
  <c r="S72" i="2"/>
  <c r="S73" i="2"/>
  <c r="S63" i="2"/>
  <c r="S62" i="2"/>
  <c r="S50" i="2"/>
  <c r="S51" i="2"/>
  <c r="S52" i="2"/>
  <c r="S53" i="2"/>
  <c r="S54" i="2"/>
  <c r="S55" i="2"/>
  <c r="S56" i="2"/>
  <c r="S57" i="2"/>
  <c r="S58" i="2"/>
  <c r="S59" i="2"/>
  <c r="S49" i="2"/>
  <c r="S48" i="2"/>
  <c r="Q64" i="2"/>
  <c r="Q65" i="2"/>
  <c r="Q66" i="2"/>
  <c r="Q67" i="2"/>
  <c r="Q68" i="2"/>
  <c r="Q69" i="2"/>
  <c r="Q70" i="2"/>
  <c r="Q71" i="2"/>
  <c r="Q72" i="2"/>
  <c r="Q73" i="2"/>
  <c r="Q63" i="2"/>
  <c r="Q62" i="2"/>
  <c r="Q50" i="2"/>
  <c r="Q51" i="2"/>
  <c r="Q52" i="2"/>
  <c r="Q53" i="2"/>
  <c r="Q54" i="2"/>
  <c r="Q55" i="2"/>
  <c r="Q56" i="2"/>
  <c r="Q57" i="2"/>
  <c r="Q58" i="2"/>
  <c r="Q59" i="2"/>
  <c r="Q49" i="2"/>
  <c r="Q48" i="2"/>
  <c r="O64" i="2"/>
  <c r="O65" i="2"/>
  <c r="O66" i="2"/>
  <c r="O67" i="2"/>
  <c r="O68" i="2"/>
  <c r="O69" i="2"/>
  <c r="O70" i="2"/>
  <c r="O71" i="2"/>
  <c r="O72" i="2"/>
  <c r="O73" i="2"/>
  <c r="O63" i="2"/>
  <c r="O62" i="2"/>
  <c r="O50" i="2"/>
  <c r="O51" i="2"/>
  <c r="O52" i="2"/>
  <c r="O53" i="2"/>
  <c r="O54" i="2"/>
  <c r="O55" i="2"/>
  <c r="O56" i="2"/>
  <c r="O57" i="2"/>
  <c r="O58" i="2"/>
  <c r="O59" i="2"/>
  <c r="O49" i="2"/>
  <c r="O48" i="2"/>
  <c r="M64" i="2"/>
  <c r="M65" i="2"/>
  <c r="M66" i="2"/>
  <c r="M67" i="2"/>
  <c r="M68" i="2"/>
  <c r="M69" i="2"/>
  <c r="M70" i="2"/>
  <c r="M71" i="2"/>
  <c r="M72" i="2"/>
  <c r="M73" i="2"/>
  <c r="M63" i="2"/>
  <c r="M62" i="2"/>
  <c r="M50" i="2"/>
  <c r="M51" i="2"/>
  <c r="M52" i="2"/>
  <c r="M53" i="2"/>
  <c r="M54" i="2"/>
  <c r="M55" i="2"/>
  <c r="M56" i="2"/>
  <c r="M57" i="2"/>
  <c r="M58" i="2"/>
  <c r="M59" i="2"/>
  <c r="M49" i="2"/>
  <c r="M48" i="2"/>
  <c r="K64" i="2"/>
  <c r="K65" i="2"/>
  <c r="K66" i="2"/>
  <c r="K67" i="2"/>
  <c r="K68" i="2"/>
  <c r="K69" i="2"/>
  <c r="K70" i="2"/>
  <c r="K71" i="2"/>
  <c r="K72" i="2"/>
  <c r="K73" i="2"/>
  <c r="K63" i="2"/>
  <c r="K62" i="2"/>
  <c r="K50" i="2"/>
  <c r="K51" i="2"/>
  <c r="K52" i="2"/>
  <c r="K53" i="2"/>
  <c r="K54" i="2"/>
  <c r="K55" i="2"/>
  <c r="K56" i="2"/>
  <c r="K57" i="2"/>
  <c r="K58" i="2"/>
  <c r="K59" i="2"/>
  <c r="K49" i="2"/>
  <c r="K48" i="2"/>
  <c r="I64" i="2"/>
  <c r="I65" i="2"/>
  <c r="I66" i="2"/>
  <c r="I67" i="2"/>
  <c r="I68" i="2"/>
  <c r="I69" i="2"/>
  <c r="I70" i="2"/>
  <c r="I71" i="2"/>
  <c r="I72" i="2"/>
  <c r="I73" i="2"/>
  <c r="I63" i="2"/>
  <c r="I62" i="2"/>
  <c r="I59" i="2"/>
  <c r="I50" i="2"/>
  <c r="I51" i="2"/>
  <c r="I52" i="2"/>
  <c r="I53" i="2"/>
  <c r="I54" i="2"/>
  <c r="I55" i="2"/>
  <c r="I56" i="2"/>
  <c r="I57" i="2"/>
  <c r="I58" i="2"/>
  <c r="I49" i="2"/>
  <c r="G62" i="2"/>
  <c r="G63" i="2"/>
  <c r="G50" i="2"/>
  <c r="G51" i="2"/>
  <c r="G52" i="2"/>
  <c r="G53" i="2"/>
  <c r="G54" i="2"/>
  <c r="G55" i="2"/>
  <c r="G56" i="2"/>
  <c r="G57" i="2"/>
  <c r="G58" i="2"/>
  <c r="G59" i="2"/>
  <c r="G49" i="2"/>
  <c r="E62" i="2"/>
  <c r="E50" i="2"/>
  <c r="E51" i="2"/>
  <c r="E52" i="2"/>
  <c r="E53" i="2"/>
  <c r="E54" i="2"/>
  <c r="E55" i="2"/>
  <c r="E56" i="2"/>
  <c r="E57" i="2"/>
  <c r="E58" i="2"/>
  <c r="E59" i="2"/>
  <c r="E49" i="2"/>
  <c r="E48" i="2"/>
  <c r="I48" i="2"/>
  <c r="G48" i="2"/>
  <c r="K45" i="2"/>
  <c r="W34" i="2"/>
  <c r="U34" i="2"/>
  <c r="K34" i="2"/>
  <c r="K31" i="2"/>
  <c r="G73" i="2"/>
  <c r="E73" i="2"/>
  <c r="U73" i="2" s="1"/>
  <c r="G72" i="2"/>
  <c r="E72" i="2"/>
  <c r="U72" i="2" s="1"/>
  <c r="G71" i="2"/>
  <c r="E71" i="2"/>
  <c r="U71" i="2" s="1"/>
  <c r="G70" i="2"/>
  <c r="E70" i="2"/>
  <c r="U70" i="2" s="1"/>
  <c r="G69" i="2"/>
  <c r="E69" i="2"/>
  <c r="U69" i="2" s="1"/>
  <c r="G68" i="2"/>
  <c r="E68" i="2"/>
  <c r="U68" i="2" s="1"/>
  <c r="G67" i="2"/>
  <c r="E67" i="2"/>
  <c r="U67" i="2" s="1"/>
  <c r="G66" i="2"/>
  <c r="E66" i="2"/>
  <c r="U66" i="2" s="1"/>
  <c r="G65" i="2"/>
  <c r="E65" i="2"/>
  <c r="U65" i="2" s="1"/>
  <c r="G64" i="2"/>
  <c r="E64" i="2"/>
  <c r="U64" i="2" s="1"/>
  <c r="E63" i="2"/>
  <c r="U63" i="2" s="1"/>
  <c r="U62" i="2"/>
  <c r="W61" i="2"/>
  <c r="V61" i="2"/>
  <c r="U61" i="2"/>
  <c r="W60" i="2"/>
  <c r="V60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W6" i="2"/>
  <c r="K20" i="2"/>
  <c r="S45" i="2"/>
  <c r="S44" i="2"/>
  <c r="S43" i="2"/>
  <c r="S42" i="2"/>
  <c r="S41" i="2"/>
  <c r="S40" i="2"/>
  <c r="S39" i="2"/>
  <c r="S38" i="2"/>
  <c r="S37" i="2"/>
  <c r="S36" i="2"/>
  <c r="S35" i="2"/>
  <c r="S34" i="2"/>
  <c r="Q45" i="2"/>
  <c r="Q44" i="2"/>
  <c r="Q43" i="2"/>
  <c r="Q42" i="2"/>
  <c r="Q41" i="2"/>
  <c r="Q40" i="2"/>
  <c r="Q39" i="2"/>
  <c r="Q38" i="2"/>
  <c r="Q37" i="2"/>
  <c r="Q36" i="2"/>
  <c r="Q35" i="2"/>
  <c r="Q34" i="2"/>
  <c r="O45" i="2"/>
  <c r="O44" i="2"/>
  <c r="O43" i="2"/>
  <c r="O42" i="2"/>
  <c r="O41" i="2"/>
  <c r="O40" i="2"/>
  <c r="O39" i="2"/>
  <c r="O38" i="2"/>
  <c r="O37" i="2"/>
  <c r="O36" i="2"/>
  <c r="O35" i="2"/>
  <c r="O34" i="2"/>
  <c r="M45" i="2"/>
  <c r="M44" i="2"/>
  <c r="M43" i="2"/>
  <c r="M42" i="2"/>
  <c r="M41" i="2"/>
  <c r="M40" i="2"/>
  <c r="M39" i="2"/>
  <c r="M38" i="2"/>
  <c r="M37" i="2"/>
  <c r="M36" i="2"/>
  <c r="M35" i="2"/>
  <c r="M34" i="2"/>
  <c r="W45" i="2"/>
  <c r="W44" i="2"/>
  <c r="K43" i="2"/>
  <c r="K42" i="2"/>
  <c r="K41" i="2"/>
  <c r="K40" i="2"/>
  <c r="K39" i="2"/>
  <c r="K38" i="2"/>
  <c r="K37" i="2"/>
  <c r="K36" i="2"/>
  <c r="K35" i="2"/>
  <c r="I45" i="2"/>
  <c r="I43" i="2"/>
  <c r="I42" i="2"/>
  <c r="I41" i="2"/>
  <c r="I40" i="2"/>
  <c r="I39" i="2"/>
  <c r="I38" i="2"/>
  <c r="I37" i="2"/>
  <c r="I36" i="2"/>
  <c r="I35" i="2"/>
  <c r="I34" i="2"/>
  <c r="G45" i="2"/>
  <c r="G44" i="2"/>
  <c r="G43" i="2"/>
  <c r="G42" i="2"/>
  <c r="G41" i="2"/>
  <c r="G40" i="2"/>
  <c r="G39" i="2"/>
  <c r="G38" i="2"/>
  <c r="G37" i="2"/>
  <c r="G36" i="2"/>
  <c r="G35" i="2"/>
  <c r="G34" i="2"/>
  <c r="E36" i="2"/>
  <c r="U36" i="2" s="1"/>
  <c r="E37" i="2"/>
  <c r="U37" i="2" s="1"/>
  <c r="E38" i="2"/>
  <c r="U38" i="2" s="1"/>
  <c r="E39" i="2"/>
  <c r="U39" i="2" s="1"/>
  <c r="E40" i="2"/>
  <c r="U40" i="2" s="1"/>
  <c r="E41" i="2"/>
  <c r="U41" i="2" s="1"/>
  <c r="E42" i="2"/>
  <c r="U42" i="2" s="1"/>
  <c r="E43" i="2"/>
  <c r="U43" i="2" s="1"/>
  <c r="E44" i="2"/>
  <c r="U44" i="2" s="1"/>
  <c r="E45" i="2"/>
  <c r="U45" i="2" s="1"/>
  <c r="E35" i="2"/>
  <c r="U35" i="2" s="1"/>
  <c r="E34" i="2"/>
  <c r="U31" i="2" s="1"/>
  <c r="I21" i="2"/>
  <c r="I22" i="2"/>
  <c r="I23" i="2"/>
  <c r="I24" i="2"/>
  <c r="I25" i="2"/>
  <c r="I26" i="2"/>
  <c r="I27" i="2"/>
  <c r="I28" i="2"/>
  <c r="I29" i="2"/>
  <c r="I30" i="2"/>
  <c r="I20" i="2"/>
  <c r="I17" i="2"/>
  <c r="V34" i="2" l="1"/>
  <c r="W31" i="2"/>
  <c r="W35" i="2"/>
  <c r="W36" i="2"/>
  <c r="W37" i="2"/>
  <c r="W38" i="2"/>
  <c r="W39" i="2"/>
  <c r="W40" i="2"/>
  <c r="W41" i="2"/>
  <c r="W42" i="2"/>
  <c r="W43" i="2"/>
  <c r="W48" i="2"/>
  <c r="V48" i="2"/>
  <c r="W49" i="2"/>
  <c r="V49" i="2"/>
  <c r="W50" i="2"/>
  <c r="V50" i="2"/>
  <c r="W51" i="2"/>
  <c r="V51" i="2"/>
  <c r="W52" i="2"/>
  <c r="V52" i="2"/>
  <c r="W53" i="2"/>
  <c r="V53" i="2"/>
  <c r="W54" i="2"/>
  <c r="V54" i="2"/>
  <c r="W55" i="2"/>
  <c r="V55" i="2"/>
  <c r="W56" i="2"/>
  <c r="V56" i="2"/>
  <c r="W57" i="2"/>
  <c r="V57" i="2"/>
  <c r="W58" i="2"/>
  <c r="V58" i="2"/>
  <c r="W59" i="2"/>
  <c r="V59" i="2"/>
  <c r="W62" i="2"/>
  <c r="V62" i="2"/>
  <c r="W63" i="2"/>
  <c r="V63" i="2"/>
  <c r="W64" i="2"/>
  <c r="V64" i="2"/>
  <c r="W65" i="2"/>
  <c r="V65" i="2"/>
  <c r="W66" i="2"/>
  <c r="V66" i="2"/>
  <c r="W67" i="2"/>
  <c r="V67" i="2"/>
  <c r="W68" i="2"/>
  <c r="V68" i="2"/>
  <c r="W69" i="2"/>
  <c r="V69" i="2"/>
  <c r="W70" i="2"/>
  <c r="V70" i="2"/>
  <c r="W71" i="2"/>
  <c r="V71" i="2"/>
  <c r="W72" i="2"/>
  <c r="V72" i="2"/>
  <c r="W73" i="2"/>
  <c r="V73" i="2"/>
  <c r="E20" i="2"/>
  <c r="G20" i="2"/>
  <c r="I11" i="2"/>
  <c r="I12" i="2"/>
  <c r="I13" i="2"/>
  <c r="I14" i="2"/>
  <c r="I15" i="2"/>
  <c r="I16" i="2"/>
  <c r="I6" i="2"/>
  <c r="I7" i="2"/>
  <c r="I8" i="2"/>
  <c r="I9" i="2"/>
  <c r="I10" i="2"/>
  <c r="G17" i="2"/>
  <c r="G10" i="2"/>
  <c r="G21" i="2"/>
  <c r="G22" i="2"/>
  <c r="G23" i="2"/>
  <c r="G24" i="2"/>
  <c r="G25" i="2"/>
  <c r="G26" i="2"/>
  <c r="G27" i="2"/>
  <c r="G28" i="2"/>
  <c r="G29" i="2"/>
  <c r="G30" i="2"/>
  <c r="E21" i="2"/>
  <c r="U21" i="2" s="1"/>
  <c r="E22" i="2"/>
  <c r="U22" i="2" s="1"/>
  <c r="E23" i="2"/>
  <c r="U23" i="2" s="1"/>
  <c r="E24" i="2"/>
  <c r="U24" i="2" s="1"/>
  <c r="E25" i="2"/>
  <c r="U25" i="2" s="1"/>
  <c r="E26" i="2"/>
  <c r="U26" i="2" s="1"/>
  <c r="E27" i="2"/>
  <c r="U27" i="2" s="1"/>
  <c r="E28" i="2"/>
  <c r="U28" i="2" s="1"/>
  <c r="E29" i="2"/>
  <c r="U29" i="2" s="1"/>
  <c r="E30" i="2"/>
  <c r="U30" i="2" s="1"/>
  <c r="E6" i="2"/>
  <c r="U6" i="2" s="1"/>
  <c r="E7" i="2"/>
  <c r="E8" i="2"/>
  <c r="E9" i="2"/>
  <c r="E10" i="2"/>
  <c r="U10" i="2" s="1"/>
  <c r="U20" i="2" l="1"/>
  <c r="V44" i="2"/>
  <c r="V43" i="2"/>
  <c r="V42" i="2"/>
  <c r="V45" i="2"/>
  <c r="S21" i="2"/>
  <c r="S22" i="2"/>
  <c r="S23" i="2"/>
  <c r="S24" i="2"/>
  <c r="S25" i="2"/>
  <c r="S26" i="2"/>
  <c r="S27" i="2"/>
  <c r="S28" i="2"/>
  <c r="S29" i="2"/>
  <c r="S30" i="2"/>
  <c r="S20" i="2"/>
  <c r="S17" i="2"/>
  <c r="S16" i="2"/>
  <c r="S10" i="2"/>
  <c r="S11" i="2"/>
  <c r="S12" i="2"/>
  <c r="S13" i="2"/>
  <c r="S14" i="2"/>
  <c r="S15" i="2"/>
  <c r="S9" i="2"/>
  <c r="Q21" i="2"/>
  <c r="Q22" i="2"/>
  <c r="Q23" i="2"/>
  <c r="Q24" i="2"/>
  <c r="Q25" i="2"/>
  <c r="Q26" i="2"/>
  <c r="Q27" i="2"/>
  <c r="Q28" i="2"/>
  <c r="Q29" i="2"/>
  <c r="Q30" i="2"/>
  <c r="Q20" i="2"/>
  <c r="Q17" i="2"/>
  <c r="Q10" i="2"/>
  <c r="Q11" i="2"/>
  <c r="Q12" i="2"/>
  <c r="Q13" i="2"/>
  <c r="Q14" i="2"/>
  <c r="Q15" i="2"/>
  <c r="Q16" i="2"/>
  <c r="Q9" i="2"/>
  <c r="O21" i="2"/>
  <c r="O22" i="2"/>
  <c r="O23" i="2"/>
  <c r="O24" i="2"/>
  <c r="O25" i="2"/>
  <c r="O26" i="2"/>
  <c r="O27" i="2"/>
  <c r="O28" i="2"/>
  <c r="O29" i="2"/>
  <c r="O30" i="2"/>
  <c r="O20" i="2"/>
  <c r="O17" i="2"/>
  <c r="O10" i="2"/>
  <c r="O11" i="2"/>
  <c r="O12" i="2"/>
  <c r="O13" i="2"/>
  <c r="O14" i="2"/>
  <c r="O15" i="2"/>
  <c r="O16" i="2"/>
  <c r="O9" i="2"/>
  <c r="G11" i="2"/>
  <c r="G12" i="2"/>
  <c r="G13" i="2"/>
  <c r="G14" i="2"/>
  <c r="G15" i="2"/>
  <c r="G16" i="2"/>
  <c r="G9" i="2"/>
  <c r="U9" i="2" s="1"/>
  <c r="E17" i="2"/>
  <c r="U17" i="2" s="1"/>
  <c r="V6" i="2"/>
  <c r="V20" i="2" l="1"/>
  <c r="V11" i="2"/>
  <c r="V10" i="2"/>
  <c r="V24" i="2"/>
  <c r="V9" i="2"/>
  <c r="V23" i="2"/>
  <c r="V26" i="2"/>
  <c r="V41" i="2"/>
  <c r="V22" i="2"/>
  <c r="V25" i="2"/>
  <c r="V21" i="2"/>
  <c r="V12" i="2"/>
  <c r="V15" i="2"/>
  <c r="V14" i="2"/>
  <c r="V13" i="2"/>
  <c r="V17" i="2"/>
  <c r="V40" i="2"/>
  <c r="V37" i="2"/>
  <c r="V35" i="2"/>
  <c r="V38" i="2"/>
  <c r="V39" i="2"/>
  <c r="V36" i="2"/>
  <c r="V30" i="2"/>
  <c r="V29" i="2"/>
  <c r="V27" i="2"/>
  <c r="V31" i="2"/>
  <c r="V28" i="2"/>
  <c r="V16" i="2"/>
  <c r="E16" i="2" l="1"/>
  <c r="U16" i="2" s="1"/>
  <c r="E15" i="2"/>
  <c r="U15" i="2" s="1"/>
  <c r="E14" i="2"/>
  <c r="U14" i="2" s="1"/>
  <c r="E13" i="2"/>
  <c r="U13" i="2" s="1"/>
  <c r="E12" i="2"/>
  <c r="U12" i="2" s="1"/>
  <c r="E11" i="2"/>
  <c r="U11" i="2" s="1"/>
  <c r="S8" i="2" l="1"/>
  <c r="S7" i="2"/>
  <c r="O8" i="2"/>
  <c r="O7" i="2"/>
  <c r="M30" i="2"/>
  <c r="M29" i="2"/>
  <c r="M28" i="2"/>
  <c r="M27" i="2"/>
  <c r="M26" i="2"/>
  <c r="M25" i="2"/>
  <c r="M24" i="2"/>
  <c r="M23" i="2"/>
  <c r="M22" i="2"/>
  <c r="M21" i="2"/>
  <c r="M20" i="2"/>
  <c r="W20" i="2" s="1"/>
  <c r="M17" i="2"/>
  <c r="M16" i="2"/>
  <c r="M15" i="2"/>
  <c r="M14" i="2"/>
  <c r="M13" i="2"/>
  <c r="M12" i="2"/>
  <c r="M11" i="2"/>
  <c r="M10" i="2"/>
  <c r="M9" i="2"/>
  <c r="M8" i="2"/>
  <c r="M7" i="2"/>
  <c r="K30" i="2"/>
  <c r="K29" i="2"/>
  <c r="K28" i="2"/>
  <c r="K27" i="2"/>
  <c r="K26" i="2"/>
  <c r="K25" i="2"/>
  <c r="K24" i="2"/>
  <c r="K23" i="2"/>
  <c r="K22" i="2"/>
  <c r="K21" i="2"/>
  <c r="K17" i="2"/>
  <c r="K16" i="2"/>
  <c r="K15" i="2"/>
  <c r="K14" i="2"/>
  <c r="K13" i="2"/>
  <c r="K12" i="2"/>
  <c r="K11" i="2"/>
  <c r="K10" i="2"/>
  <c r="K9" i="2"/>
  <c r="K8" i="2"/>
  <c r="K7" i="2"/>
  <c r="G8" i="2"/>
  <c r="U8" i="2" s="1"/>
  <c r="G7" i="2"/>
  <c r="U7" i="2" s="1"/>
  <c r="W7" i="2" l="1"/>
  <c r="W8" i="2"/>
  <c r="W9" i="2"/>
  <c r="W10" i="2"/>
  <c r="W11" i="2"/>
  <c r="W12" i="2"/>
  <c r="W13" i="2"/>
  <c r="W14" i="2"/>
  <c r="W15" i="2"/>
  <c r="W16" i="2"/>
  <c r="W17" i="2"/>
  <c r="W21" i="2"/>
  <c r="W22" i="2"/>
  <c r="W23" i="2"/>
  <c r="W24" i="2"/>
  <c r="W25" i="2"/>
  <c r="W26" i="2"/>
  <c r="W27" i="2"/>
  <c r="W28" i="2"/>
  <c r="W29" i="2"/>
  <c r="W30" i="2"/>
  <c r="Q8" i="2"/>
  <c r="V8" i="2" s="1"/>
  <c r="Q7" i="2"/>
  <c r="V7" i="2" s="1"/>
</calcChain>
</file>

<file path=xl/sharedStrings.xml><?xml version="1.0" encoding="utf-8"?>
<sst xmlns="http://schemas.openxmlformats.org/spreadsheetml/2006/main" count="1672" uniqueCount="268">
  <si>
    <t>Forbrug : Uglen</t>
  </si>
  <si>
    <t>EL - måler: Byg 1</t>
  </si>
  <si>
    <t>Aktuelle forbrug EL</t>
  </si>
  <si>
    <t>EL - måler: Bananen</t>
  </si>
  <si>
    <t>Vand - måler: blok 1</t>
  </si>
  <si>
    <t>Aktuelle forbrug vandforbrug</t>
  </si>
  <si>
    <t>Vand - måler: Banan</t>
  </si>
  <si>
    <t>Vand - måler: legeplads</t>
  </si>
  <si>
    <t>varme måler: blok 1</t>
  </si>
  <si>
    <t>Aktuelle forbrug varme</t>
  </si>
  <si>
    <t>varme måler: blok 6</t>
  </si>
  <si>
    <t>varme måler: varme central</t>
  </si>
  <si>
    <t>total el</t>
  </si>
  <si>
    <t>total varme</t>
  </si>
  <si>
    <t>total vand</t>
  </si>
  <si>
    <t>Dato</t>
  </si>
  <si>
    <t xml:space="preserve">Januar </t>
  </si>
  <si>
    <t>Februar</t>
  </si>
  <si>
    <t>Marts</t>
  </si>
  <si>
    <t>April</t>
  </si>
  <si>
    <t xml:space="preserve">Maj </t>
  </si>
  <si>
    <t>Juni</t>
  </si>
  <si>
    <t>Juli</t>
  </si>
  <si>
    <t>August</t>
  </si>
  <si>
    <t>September</t>
  </si>
  <si>
    <t>Oktober</t>
  </si>
  <si>
    <t>November</t>
  </si>
  <si>
    <t>December</t>
  </si>
  <si>
    <t>estimat</t>
  </si>
  <si>
    <t>primo jan.</t>
  </si>
  <si>
    <t>Elsikkerhedsattest</t>
  </si>
  <si>
    <t>ABA</t>
  </si>
  <si>
    <t>Automatisk brandalarmanlæg</t>
  </si>
  <si>
    <t>ABDL</t>
  </si>
  <si>
    <t>Automatisk branddørlukningsanlæg</t>
  </si>
  <si>
    <t>AVA</t>
  </si>
  <si>
    <t>Varslingsanlæg Talevarsling</t>
  </si>
  <si>
    <t>F&amp;P</t>
  </si>
  <si>
    <t>Flugtvejs- og panikbelysning</t>
  </si>
  <si>
    <t>VSV</t>
  </si>
  <si>
    <t>Slangevinder</t>
  </si>
  <si>
    <t>HS</t>
  </si>
  <si>
    <t>Håndslukker</t>
  </si>
  <si>
    <t>BT</t>
  </si>
  <si>
    <t>Brandtæppe</t>
  </si>
  <si>
    <t>Logbog</t>
  </si>
  <si>
    <t>Anlæg</t>
  </si>
  <si>
    <t>Hændelse</t>
  </si>
  <si>
    <t xml:space="preserve">Dato for </t>
  </si>
  <si>
    <t>Opfølgning</t>
  </si>
  <si>
    <t>Initialer</t>
  </si>
  <si>
    <t>opfølgning</t>
  </si>
  <si>
    <t>Firma</t>
  </si>
  <si>
    <t>Efrersyn</t>
  </si>
  <si>
    <t>Pesha</t>
  </si>
  <si>
    <t>Eftersyn</t>
  </si>
  <si>
    <t>Årtseftersyn</t>
  </si>
  <si>
    <t>JK PLUS</t>
  </si>
  <si>
    <t>PESHA / KBM</t>
  </si>
  <si>
    <t xml:space="preserve">Pesha  </t>
  </si>
  <si>
    <t>RMG</t>
  </si>
  <si>
    <t>eftersyn</t>
  </si>
  <si>
    <t>efrersyn</t>
  </si>
  <si>
    <t xml:space="preserve">Årtseftersyn også deri afprøvning </t>
  </si>
  <si>
    <t>OJ Comfort</t>
  </si>
  <si>
    <t>Falck Teknik</t>
  </si>
  <si>
    <t xml:space="preserve">eftersyn </t>
  </si>
  <si>
    <t xml:space="preserve">Pesha   </t>
  </si>
  <si>
    <t>KBM</t>
  </si>
  <si>
    <r>
      <rPr>
        <b/>
        <sz val="10"/>
        <color rgb="FF000000"/>
        <rFont val="Calibri"/>
      </rPr>
      <t xml:space="preserve">Brand i ventilation ( </t>
    </r>
    <r>
      <rPr>
        <b/>
        <sz val="10"/>
        <color rgb="FFFF0000"/>
        <rFont val="Calibri"/>
      </rPr>
      <t>alt er ok )</t>
    </r>
  </si>
  <si>
    <r>
      <rPr>
        <sz val="10"/>
        <color rgb="FF000000"/>
        <rFont val="Calibri"/>
        <scheme val="minor"/>
      </rPr>
      <t>eftersyn</t>
    </r>
    <r>
      <rPr>
        <sz val="10"/>
        <color rgb="FFFF0000"/>
        <rFont val="Calibri"/>
        <scheme val="minor"/>
      </rPr>
      <t xml:space="preserve"> ( Der er fejl på flugtvejsskilt i hallen, ikke noget lys  )</t>
    </r>
  </si>
  <si>
    <t xml:space="preserve"> årlig beredskab fyn  hal inventar, b4 kiler, banan gardiner, opfølges</t>
  </si>
  <si>
    <t>pesha</t>
  </si>
  <si>
    <t>per</t>
  </si>
  <si>
    <t>aba</t>
  </si>
  <si>
    <t>abdl</t>
  </si>
  <si>
    <t>Der er ikke lavet årtseftersyn, har ringet til OJ Comfort</t>
  </si>
  <si>
    <t>Øhavsskolen Uglen</t>
  </si>
  <si>
    <t>Månedligt</t>
  </si>
  <si>
    <t>Hver 3. måned</t>
  </si>
  <si>
    <t xml:space="preserve">Halvårligt </t>
  </si>
  <si>
    <t>Årligt</t>
  </si>
  <si>
    <t>Hvert 2. år</t>
  </si>
  <si>
    <t>Hvert 3. år</t>
  </si>
  <si>
    <t>Hvert 4. år</t>
  </si>
  <si>
    <t>Hvert 5. år</t>
  </si>
  <si>
    <t>Hvert 10. år</t>
  </si>
  <si>
    <t>Januar</t>
  </si>
  <si>
    <t>Maj</t>
  </si>
  <si>
    <t>Firma / Person</t>
  </si>
  <si>
    <t>Logbøger</t>
  </si>
  <si>
    <t>X</t>
  </si>
  <si>
    <t>ABA-anlæg</t>
  </si>
  <si>
    <t>2024.</t>
  </si>
  <si>
    <t>2025.</t>
  </si>
  <si>
    <t>ABDL-anlæg automatisk</t>
  </si>
  <si>
    <t>branddørslukkeanlæk</t>
  </si>
  <si>
    <t>Varslingsanlæg</t>
  </si>
  <si>
    <t>Talevarsling</t>
  </si>
  <si>
    <t>Flugtvejs- og</t>
  </si>
  <si>
    <t>panikbelysning</t>
  </si>
  <si>
    <t>JK Plus</t>
  </si>
  <si>
    <t>Driftsansvarlig, evt. lejer</t>
  </si>
  <si>
    <t>Driftsansvarlig</t>
  </si>
  <si>
    <t>Autoriseret eller installatørvirksomhed</t>
  </si>
  <si>
    <t>installationsfirma eller certificeret firma</t>
  </si>
  <si>
    <t>Akkrediterer virksomhed</t>
  </si>
  <si>
    <t>Afprøvning af ABDL dører afstil gruppe 24</t>
  </si>
  <si>
    <t>Øhavsskolen Uglen Hallen</t>
  </si>
  <si>
    <t>Arrangement</t>
  </si>
  <si>
    <t>Bruger / lejre</t>
  </si>
  <si>
    <t xml:space="preserve">DKV-Skema for kontrol og eftersynsterminer </t>
  </si>
  <si>
    <t>Dagligt</t>
  </si>
  <si>
    <t>Ugenligt</t>
  </si>
  <si>
    <t>Side</t>
  </si>
  <si>
    <t>Ref.</t>
  </si>
  <si>
    <t>Kontrol og bemærkning</t>
  </si>
  <si>
    <t>Systemintegrationstest</t>
  </si>
  <si>
    <t>7.4.2</t>
  </si>
  <si>
    <t xml:space="preserve">Systemintegrationstest af akkrediteret virksomhed. </t>
  </si>
  <si>
    <t>7.4.3</t>
  </si>
  <si>
    <t>Gennemgang af logbøger for opfølgning på udestående.</t>
  </si>
  <si>
    <t>7.5.1.3</t>
  </si>
  <si>
    <t xml:space="preserve">Eftersyn af ABA-Central </t>
  </si>
  <si>
    <t>Automatisk brandalarm anlæg</t>
  </si>
  <si>
    <t>7.5.3.1</t>
  </si>
  <si>
    <t>Funktionsafprøvning af evt integreret varslingsanlæg.</t>
  </si>
  <si>
    <t>7.5.1.4</t>
  </si>
  <si>
    <t>Serviceeftersyn foretaget af ABA-installationsfirma. Systemintegrationstest. Visuel inspektion af anlægget</t>
  </si>
  <si>
    <t>7.5.1.5</t>
  </si>
  <si>
    <t xml:space="preserve">Funktionsafprøvning af akkrediteret virksomhed. </t>
  </si>
  <si>
    <t>Røgalarmanlæg</t>
  </si>
  <si>
    <t>7.5.4.1</t>
  </si>
  <si>
    <t>Funktionsafprøvning</t>
  </si>
  <si>
    <t>7.5.4.2</t>
  </si>
  <si>
    <t xml:space="preserve">Rengøring og kontrol af batteriebackup </t>
  </si>
  <si>
    <t>7.5.4.3</t>
  </si>
  <si>
    <t>Batteri for backup udskikftes</t>
  </si>
  <si>
    <t>ABDL-anlæg automatisk branddørslukkeanlæg</t>
  </si>
  <si>
    <t>7.5.7.1</t>
  </si>
  <si>
    <t>7.5.7.2</t>
  </si>
  <si>
    <t>Serviceeftersyn foretages af autoriseret elinstallatiørvirkosmhed.</t>
  </si>
  <si>
    <t xml:space="preserve">Funktionskontrol af brand og røgspjæld ved betjeningspanel </t>
  </si>
  <si>
    <t>7.5.3.2</t>
  </si>
  <si>
    <t>7.5.3.3</t>
  </si>
  <si>
    <t>7.5.5.1</t>
  </si>
  <si>
    <t>Funktionseftersyn</t>
  </si>
  <si>
    <t>7.5.5.2</t>
  </si>
  <si>
    <t xml:space="preserve">Test af back-up på strømforsyning </t>
  </si>
  <si>
    <t>7.5.5.3</t>
  </si>
  <si>
    <t>Serviceeftersyn foretages af autoriserede elinstallatørvirksomhed</t>
  </si>
  <si>
    <t>7.5.5.4</t>
  </si>
  <si>
    <t>7.5.6.1</t>
  </si>
  <si>
    <t>Eftersyn (bygningsafsnit i anvendelseskategori 6)</t>
  </si>
  <si>
    <t>X  Falck</t>
  </si>
  <si>
    <t>7.5.6.2</t>
  </si>
  <si>
    <t>Serviceeftersyn</t>
  </si>
  <si>
    <t>7.5.6.3</t>
  </si>
  <si>
    <t>Trykprøvning. Udføres af autoriseret VVS-installatørvirksomhed</t>
  </si>
  <si>
    <t xml:space="preserve">ABV-Anlæg </t>
  </si>
  <si>
    <t>7.5.8.1</t>
  </si>
  <si>
    <t xml:space="preserve">Eftersyn af kontrolpanel for anlæg med selvstændig detektering </t>
  </si>
  <si>
    <t xml:space="preserve">Automatisk brandventilations anlæg </t>
  </si>
  <si>
    <t>7.5.8.2</t>
  </si>
  <si>
    <t xml:space="preserve">Serviceeftersyn foretages af installationsfirma. Virsuel inspektion af anlægget </t>
  </si>
  <si>
    <t>7.5.8.3</t>
  </si>
  <si>
    <t>Håndilslukker</t>
  </si>
  <si>
    <t>7.5.17.1</t>
  </si>
  <si>
    <t>Service/eftersyn, kontrol af skader, markering, placering funktionsduelighed m.v</t>
  </si>
  <si>
    <t>7.5.17.2</t>
  </si>
  <si>
    <t>Trykprøvning. Foretafes af cerficeret virksomhed. Variavel termin  afhængig af type.</t>
  </si>
  <si>
    <t>7.5.18.1</t>
  </si>
  <si>
    <t xml:space="preserve">Komfortventilation </t>
  </si>
  <si>
    <t>7.5.20.1</t>
  </si>
  <si>
    <t xml:space="preserve">Passiv brandsikring </t>
  </si>
  <si>
    <t>7.6.1</t>
  </si>
  <si>
    <t>Gennemgang af bygningens passive brandsikring.</t>
  </si>
  <si>
    <t>Akkrediteret virksomhed</t>
  </si>
  <si>
    <t>https://www.google.com/url?sa=t&amp;rct=j&amp;q=&amp;esrc=s&amp;source=web&amp;cd=&amp;ved=2ahUKEwjK6KOD1p_3AhUFgP0HHa4zDW4QFnoECAUQAQ&amp;url=https%3A%2F%2Fbygningsreglementet.dk%2F-%2Fmedia%2FBr%2FKap_5_Brand%2FVejledninger%2FGenerel-vejledning%2FKapitel-7%2FKapitel-7-Drift-kontrol-og-vedligehold-20200103.pdf&amp;usg=AOvVaw0ZRm4tG4Cy9SOH18uiBJJ0</t>
  </si>
  <si>
    <t>ok</t>
  </si>
  <si>
    <t>delvist ok</t>
  </si>
  <si>
    <t>01-01-2023 og maj 2023</t>
  </si>
  <si>
    <t>et defekt i blok 1 og et og et i blok 6 er bestilt</t>
  </si>
  <si>
    <t xml:space="preserve">paniklys hal  blok 1 blok 5 blok banan og blok 4 </t>
  </si>
  <si>
    <t>to defkt i blok 1 er bestilt panik i maj 2023</t>
  </si>
  <si>
    <t xml:space="preserve">ok </t>
  </si>
  <si>
    <t xml:space="preserve">ok  dog rep i blok 5 ved sløjd og ved kælder blok1 </t>
  </si>
  <si>
    <t>21 -12.2022</t>
  </si>
  <si>
    <t>ok afprøvning</t>
  </si>
  <si>
    <t>ok blok 4 nyt</t>
  </si>
  <si>
    <t>ok alla bygninger</t>
  </si>
  <si>
    <t>sv</t>
  </si>
  <si>
    <t>ok  under rep   og er rekvireret</t>
  </si>
  <si>
    <t>bt</t>
  </si>
  <si>
    <t>hs</t>
  </si>
  <si>
    <t xml:space="preserve">aba </t>
  </si>
  <si>
    <t>afholdt kursus brand personale ok</t>
  </si>
  <si>
    <t>24-02 2023</t>
  </si>
  <si>
    <t>hs-FogP-SV-ABDL</t>
  </si>
  <si>
    <t>ok panik funker</t>
  </si>
  <si>
    <t>panik lys hal</t>
  </si>
  <si>
    <t>ok forud for arragement</t>
  </si>
  <si>
    <t>beredsskabs inspektion</t>
  </si>
  <si>
    <t xml:space="preserve">flere fejl og mangler  opdateres </t>
  </si>
  <si>
    <t>brandtryk provokeret af elever blok 6.</t>
  </si>
  <si>
    <t xml:space="preserve">alle elever foresamlet efter evarkueringsplan  gik super, derfor arragement i aprilikke bliver gennemført </t>
  </si>
  <si>
    <t>må sigs det virker sådan direkte  læs overfor</t>
  </si>
  <si>
    <t>OK</t>
  </si>
  <si>
    <t>PANIKLYS</t>
  </si>
  <si>
    <t>SV</t>
  </si>
  <si>
    <t xml:space="preserve">afprøvning aba </t>
  </si>
  <si>
    <t>28--06-23</t>
  </si>
  <si>
    <t>abdl   sv og hs</t>
  </si>
  <si>
    <t>paniklys og flugtvej</t>
  </si>
  <si>
    <t>årligt eftersyn aba</t>
  </si>
  <si>
    <t>oj comfort  v benjamin</t>
  </si>
  <si>
    <t>abdl- sv-bt-paniklys-hs</t>
  </si>
  <si>
    <t>flugtvej lys - SV- .BT -. HS</t>
  </si>
  <si>
    <t xml:space="preserve">mdr afprøvning </t>
  </si>
  <si>
    <t>Falck teknik service årligt</t>
  </si>
  <si>
    <t>brandalarm</t>
  </si>
  <si>
    <t>med dertil evarkuering som forløb ok</t>
  </si>
  <si>
    <t>flugtvej lys-sv-bt-hs</t>
  </si>
  <si>
    <t>ng</t>
  </si>
  <si>
    <t>ok med evarkuerim</t>
  </si>
  <si>
    <t xml:space="preserve">flugtvejssly sv- bt hs </t>
  </si>
  <si>
    <t>sv.bt-hs</t>
  </si>
  <si>
    <t>sv-bt-hs-abdl flugtvejs lys og panik</t>
  </si>
  <si>
    <t xml:space="preserve">aba afprøvning </t>
  </si>
  <si>
    <t xml:space="preserve">aba  brandtryk - </t>
  </si>
  <si>
    <t>PESHA</t>
  </si>
  <si>
    <t>ava</t>
  </si>
  <si>
    <t>sv-bt-hs- flugtvejs lys og panik</t>
  </si>
  <si>
    <t>Årts Eftersyn</t>
  </si>
  <si>
    <t>2022 - Uglen</t>
  </si>
  <si>
    <t>rmg 4-7-24</t>
  </si>
  <si>
    <t>Gennemgang af logbøger for opfølgning på udeståender.</t>
  </si>
  <si>
    <t xml:space="preserve">Nr. Lyndelse EL </t>
  </si>
  <si>
    <t>Fornyelse af Elsikkerhedsattest udstedt af autoriseret elinstallatørvirksomhed</t>
  </si>
  <si>
    <t>udsat pga ombygning til og med august selv varsling 112</t>
  </si>
  <si>
    <t>7-9 22</t>
  </si>
  <si>
    <t>Eftersyn af ABA-central.</t>
  </si>
  <si>
    <t>Siemens</t>
  </si>
  <si>
    <t xml:space="preserve">Serviceeftersyn foretaget af ABA-installationsfirma. Systemintegrationstest. </t>
  </si>
  <si>
    <t>Funktionsafprøvning af akkrediteret virksomhed.</t>
  </si>
  <si>
    <t>Funktionsafprøvning.</t>
  </si>
  <si>
    <t>Serviceeftersyn foretages af autoriseret elinstallatørvirksomhed.</t>
  </si>
  <si>
    <t>Exit Sound</t>
  </si>
  <si>
    <t>Funktionseftersyn.</t>
  </si>
  <si>
    <t>Test af back-up på strømforsyning.</t>
  </si>
  <si>
    <t>Trykprøvning, Udføres af autoriseret VVS-installatørvirksomhed.</t>
  </si>
  <si>
    <t>Tilsyn, kontrol af skader, placcering m.v</t>
  </si>
  <si>
    <t>Tilsyn, kontrol af funktionsduelighed m.v</t>
  </si>
  <si>
    <t>Trykprøvning. Foretages af certificeret virksomhed. Variabel termin</t>
  </si>
  <si>
    <t>DKV-skema for terminer for brandmæssige eftersyn</t>
  </si>
  <si>
    <t> </t>
  </si>
  <si>
    <t>7.4.4</t>
  </si>
  <si>
    <t>7.5.17.3</t>
  </si>
  <si>
    <t>7.5.19.1</t>
  </si>
  <si>
    <t>Stigrør</t>
  </si>
  <si>
    <t>7.5.14.1</t>
  </si>
  <si>
    <t>Kontrol af udtagsventiler og slutdaksler.</t>
  </si>
  <si>
    <t>7.5.14.2</t>
  </si>
  <si>
    <t>7.5.14.3</t>
  </si>
  <si>
    <t>Trykprøvning og vedligeholdelelseftersyn udføres af autoriseret installatørvirksomhed</t>
  </si>
  <si>
    <t>Røgudluftning</t>
  </si>
  <si>
    <t>7.5.11.1</t>
  </si>
  <si>
    <t>Funktionskontrol og serviceeftersyn.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</si>
</sst>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rgb="FF000000"/>
      <name val="Calibri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000000"/>
      <name val="Aptos Narrow"/>
      <charset val="1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4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rgb="FFFF0000"/>
      <name val="Calibri"/>
      <family val="2"/>
    </font>
    <font>
      <b/>
      <sz val="8"/>
      <color rgb="FF000000"/>
      <name val="Calibri"/>
      <family val="2"/>
    </font>
    <font>
      <b/>
      <sz val="8"/>
      <color rgb="FFFFFFFF"/>
      <name val="Calibri"/>
      <family val="2"/>
    </font>
    <font>
      <sz val="11"/>
      <color rgb="FF000000"/>
      <name val="Calibri"/>
      <family val="2"/>
    </font>
    <font>
      <b/>
      <sz val="8"/>
      <color rgb="FFFF0000"/>
      <name val="Calibri"/>
      <family val="2"/>
    </font>
    <font>
      <sz val="8"/>
      <color rgb="FF000000"/>
      <name val="Calibri"/>
      <family val="2"/>
    </font>
    <font>
      <u/>
      <sz val="9"/>
      <color rgb="FF0563C1"/>
      <name val="Calibri"/>
      <family val="2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000000"/>
      <name val="Calibri"/>
    </font>
    <font>
      <b/>
      <sz val="10"/>
      <color rgb="FFFF0000"/>
      <name val="Calibri"/>
    </font>
    <font>
      <b/>
      <sz val="10"/>
      <color theme="1"/>
      <name val="Calibri"/>
    </font>
    <font>
      <b/>
      <sz val="14"/>
      <name val="Calibri"/>
      <family val="2"/>
      <scheme val="minor"/>
    </font>
    <font>
      <sz val="10"/>
      <color rgb="FFFF0000"/>
      <name val="Calibri"/>
      <scheme val="minor"/>
    </font>
    <font>
      <sz val="10"/>
      <color theme="1"/>
      <name val="Calibri"/>
      <scheme val="minor"/>
    </font>
    <font>
      <sz val="9"/>
      <name val="Calibri"/>
      <family val="2"/>
      <scheme val="minor"/>
    </font>
    <font>
      <u/>
      <sz val="11"/>
      <color theme="1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A9D08E"/>
        <bgColor rgb="FF000000"/>
      </patternFill>
    </fill>
  </fills>
  <borders count="1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FF0000"/>
      </top>
      <bottom/>
      <diagonal/>
    </border>
    <border>
      <left/>
      <right/>
      <top style="medium">
        <color rgb="FFFF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49" fillId="0" borderId="0" applyNumberFormat="0" applyFill="0" applyBorder="0" applyAlignment="0" applyProtection="0"/>
  </cellStyleXfs>
  <cellXfs count="569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textRotation="90"/>
    </xf>
    <xf numFmtId="0" fontId="3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5" fillId="0" borderId="6" xfId="0" applyFont="1" applyBorder="1"/>
    <xf numFmtId="0" fontId="2" fillId="0" borderId="8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4" fillId="0" borderId="6" xfId="0" applyFont="1" applyBorder="1"/>
    <xf numFmtId="0" fontId="2" fillId="0" borderId="14" xfId="0" applyFont="1" applyBorder="1" applyAlignment="1">
      <alignment horizontal="center"/>
    </xf>
    <xf numFmtId="0" fontId="5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6" fillId="0" borderId="0" xfId="0" applyFont="1"/>
    <xf numFmtId="0" fontId="0" fillId="0" borderId="0" xfId="0" applyAlignment="1">
      <alignment horizontal="center"/>
    </xf>
    <xf numFmtId="0" fontId="7" fillId="0" borderId="1" xfId="0" applyFont="1" applyBorder="1"/>
    <xf numFmtId="0" fontId="3" fillId="0" borderId="2" xfId="0" applyFont="1" applyBorder="1" applyAlignment="1">
      <alignment horizontal="center" textRotation="90"/>
    </xf>
    <xf numFmtId="0" fontId="3" fillId="0" borderId="19" xfId="0" applyFont="1" applyBorder="1" applyAlignment="1">
      <alignment horizontal="center" textRotation="90"/>
    </xf>
    <xf numFmtId="0" fontId="1" fillId="0" borderId="19" xfId="0" applyFont="1" applyBorder="1" applyAlignment="1">
      <alignment horizontal="center" textRotation="90"/>
    </xf>
    <xf numFmtId="0" fontId="1" fillId="0" borderId="20" xfId="0" applyFont="1" applyBorder="1" applyAlignment="1">
      <alignment horizontal="center" textRotation="90"/>
    </xf>
    <xf numFmtId="0" fontId="4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0" fillId="6" borderId="21" xfId="0" applyFill="1" applyBorder="1"/>
    <xf numFmtId="0" fontId="3" fillId="3" borderId="23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21" xfId="0" applyBorder="1"/>
    <xf numFmtId="0" fontId="4" fillId="0" borderId="20" xfId="0" applyFont="1" applyBorder="1"/>
    <xf numFmtId="0" fontId="3" fillId="0" borderId="2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2" fillId="6" borderId="28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29" xfId="0" applyFont="1" applyFill="1" applyBorder="1" applyAlignment="1">
      <alignment horizontal="center"/>
    </xf>
    <xf numFmtId="0" fontId="0" fillId="6" borderId="30" xfId="0" applyFill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0" fillId="0" borderId="16" xfId="0" applyBorder="1"/>
    <xf numFmtId="0" fontId="5" fillId="0" borderId="32" xfId="0" applyFont="1" applyBorder="1"/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4" borderId="34" xfId="0" applyFont="1" applyFill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0" fillId="0" borderId="38" xfId="0" applyBorder="1"/>
    <xf numFmtId="0" fontId="3" fillId="0" borderId="26" xfId="0" applyFont="1" applyBorder="1"/>
    <xf numFmtId="0" fontId="3" fillId="0" borderId="15" xfId="0" applyFont="1" applyBorder="1"/>
    <xf numFmtId="0" fontId="3" fillId="5" borderId="15" xfId="0" applyFont="1" applyFill="1" applyBorder="1" applyAlignment="1">
      <alignment horizontal="center"/>
    </xf>
    <xf numFmtId="0" fontId="3" fillId="0" borderId="27" xfId="0" applyFont="1" applyBorder="1"/>
    <xf numFmtId="0" fontId="4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3" fillId="3" borderId="34" xfId="0" applyFont="1" applyFill="1" applyBorder="1" applyAlignment="1">
      <alignment horizontal="center"/>
    </xf>
    <xf numFmtId="0" fontId="3" fillId="0" borderId="35" xfId="0" applyFont="1" applyBorder="1"/>
    <xf numFmtId="0" fontId="3" fillId="0" borderId="2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0" fillId="6" borderId="16" xfId="0" applyFill="1" applyBorder="1"/>
    <xf numFmtId="0" fontId="4" fillId="0" borderId="30" xfId="0" applyFont="1" applyBorder="1"/>
    <xf numFmtId="0" fontId="3" fillId="0" borderId="39" xfId="0" applyFont="1" applyBorder="1"/>
    <xf numFmtId="0" fontId="3" fillId="0" borderId="7" xfId="0" applyFont="1" applyBorder="1"/>
    <xf numFmtId="0" fontId="3" fillId="0" borderId="8" xfId="0" applyFont="1" applyBorder="1"/>
    <xf numFmtId="0" fontId="3" fillId="3" borderId="10" xfId="0" applyFont="1" applyFill="1" applyBorder="1" applyAlignment="1">
      <alignment horizontal="center"/>
    </xf>
    <xf numFmtId="0" fontId="3" fillId="0" borderId="9" xfId="0" applyFont="1" applyBorder="1"/>
    <xf numFmtId="0" fontId="5" fillId="0" borderId="38" xfId="0" applyFont="1" applyBorder="1"/>
    <xf numFmtId="0" fontId="3" fillId="3" borderId="35" xfId="0" applyFont="1" applyFill="1" applyBorder="1" applyAlignment="1">
      <alignment horizontal="center"/>
    </xf>
    <xf numFmtId="0" fontId="4" fillId="0" borderId="40" xfId="0" applyFont="1" applyBorder="1"/>
    <xf numFmtId="0" fontId="3" fillId="0" borderId="41" xfId="0" applyFont="1" applyBorder="1"/>
    <xf numFmtId="0" fontId="3" fillId="0" borderId="23" xfId="0" applyFont="1" applyBorder="1"/>
    <xf numFmtId="0" fontId="3" fillId="5" borderId="23" xfId="0" applyFont="1" applyFill="1" applyBorder="1" applyAlignment="1">
      <alignment horizontal="center"/>
    </xf>
    <xf numFmtId="0" fontId="3" fillId="0" borderId="22" xfId="0" applyFont="1" applyBorder="1"/>
    <xf numFmtId="0" fontId="3" fillId="0" borderId="24" xfId="0" applyFont="1" applyBorder="1"/>
    <xf numFmtId="0" fontId="3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8" xfId="0" applyBorder="1"/>
    <xf numFmtId="0" fontId="9" fillId="0" borderId="0" xfId="0" applyFont="1"/>
    <xf numFmtId="0" fontId="0" fillId="9" borderId="8" xfId="0" applyFill="1" applyBorder="1"/>
    <xf numFmtId="16" fontId="2" fillId="6" borderId="15" xfId="0" applyNumberFormat="1" applyFont="1" applyFill="1" applyBorder="1" applyAlignment="1">
      <alignment horizontal="center"/>
    </xf>
    <xf numFmtId="14" fontId="2" fillId="6" borderId="15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4" fontId="11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8" xfId="0" applyFont="1" applyBorder="1"/>
    <xf numFmtId="0" fontId="12" fillId="0" borderId="8" xfId="0" applyFont="1" applyBorder="1" applyAlignment="1">
      <alignment horizontal="left"/>
    </xf>
    <xf numFmtId="17" fontId="11" fillId="0" borderId="8" xfId="0" applyNumberFormat="1" applyFont="1" applyBorder="1"/>
    <xf numFmtId="0" fontId="0" fillId="0" borderId="0" xfId="0" applyAlignment="1">
      <alignment wrapText="1"/>
    </xf>
    <xf numFmtId="0" fontId="0" fillId="7" borderId="8" xfId="0" applyFill="1" applyBorder="1" applyAlignment="1">
      <alignment wrapText="1"/>
    </xf>
    <xf numFmtId="0" fontId="13" fillId="10" borderId="8" xfId="0" applyFont="1" applyFill="1" applyBorder="1"/>
    <xf numFmtId="0" fontId="14" fillId="10" borderId="0" xfId="0" applyFont="1" applyFill="1"/>
    <xf numFmtId="0" fontId="14" fillId="10" borderId="8" xfId="0" applyFont="1" applyFill="1" applyBorder="1"/>
    <xf numFmtId="0" fontId="0" fillId="0" borderId="8" xfId="0" applyBorder="1" applyProtection="1">
      <protection locked="0"/>
    </xf>
    <xf numFmtId="0" fontId="0" fillId="9" borderId="8" xfId="0" applyFill="1" applyBorder="1" applyProtection="1">
      <protection locked="0"/>
    </xf>
    <xf numFmtId="0" fontId="11" fillId="0" borderId="0" xfId="0" applyFont="1" applyAlignment="1">
      <alignment horizontal="left"/>
    </xf>
    <xf numFmtId="0" fontId="11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1" fillId="0" borderId="8" xfId="0" applyFont="1" applyBorder="1" applyAlignment="1">
      <alignment wrapText="1"/>
    </xf>
    <xf numFmtId="0" fontId="12" fillId="0" borderId="8" xfId="0" applyFont="1" applyBorder="1" applyAlignment="1">
      <alignment horizontal="center"/>
    </xf>
    <xf numFmtId="0" fontId="12" fillId="0" borderId="8" xfId="0" applyFont="1" applyBorder="1" applyAlignment="1">
      <alignment wrapText="1"/>
    </xf>
    <xf numFmtId="0" fontId="12" fillId="0" borderId="8" xfId="0" applyFont="1" applyBorder="1"/>
    <xf numFmtId="17" fontId="11" fillId="0" borderId="8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 wrapText="1"/>
    </xf>
    <xf numFmtId="0" fontId="15" fillId="9" borderId="8" xfId="0" applyFont="1" applyFill="1" applyBorder="1" applyProtection="1">
      <protection locked="0"/>
    </xf>
    <xf numFmtId="0" fontId="16" fillId="0" borderId="0" xfId="0" applyFont="1"/>
    <xf numFmtId="0" fontId="7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textRotation="90"/>
    </xf>
    <xf numFmtId="0" fontId="17" fillId="0" borderId="2" xfId="0" applyFont="1" applyBorder="1" applyAlignment="1">
      <alignment horizontal="center" textRotation="90"/>
    </xf>
    <xf numFmtId="0" fontId="17" fillId="0" borderId="19" xfId="0" applyFont="1" applyBorder="1" applyAlignment="1">
      <alignment horizontal="center" textRotation="90"/>
    </xf>
    <xf numFmtId="0" fontId="17" fillId="0" borderId="20" xfId="0" applyFont="1" applyBorder="1" applyAlignment="1">
      <alignment horizontal="center" textRotation="90"/>
    </xf>
    <xf numFmtId="0" fontId="18" fillId="0" borderId="44" xfId="0" applyFont="1" applyBorder="1"/>
    <xf numFmtId="0" fontId="17" fillId="2" borderId="45" xfId="0" applyFont="1" applyFill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17" fillId="0" borderId="46" xfId="0" applyFont="1" applyBorder="1" applyAlignment="1">
      <alignment horizontal="center"/>
    </xf>
    <xf numFmtId="0" fontId="6" fillId="6" borderId="47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0" fontId="6" fillId="6" borderId="48" xfId="0" applyFont="1" applyFill="1" applyBorder="1"/>
    <xf numFmtId="0" fontId="17" fillId="3" borderId="45" xfId="0" applyFont="1" applyFill="1" applyBorder="1" applyAlignment="1">
      <alignment horizontal="center"/>
    </xf>
    <xf numFmtId="0" fontId="17" fillId="0" borderId="49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14" fontId="6" fillId="0" borderId="45" xfId="0" applyNumberFormat="1" applyFont="1" applyBorder="1" applyAlignment="1">
      <alignment horizontal="center"/>
    </xf>
    <xf numFmtId="16" fontId="6" fillId="0" borderId="45" xfId="0" applyNumberFormat="1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19" fillId="0" borderId="51" xfId="0" applyFont="1" applyBorder="1"/>
    <xf numFmtId="0" fontId="18" fillId="0" borderId="48" xfId="0" applyFont="1" applyBorder="1"/>
    <xf numFmtId="0" fontId="17" fillId="2" borderId="52" xfId="0" applyFont="1" applyFill="1" applyBorder="1" applyAlignment="1">
      <alignment horizontal="center"/>
    </xf>
    <xf numFmtId="0" fontId="17" fillId="0" borderId="53" xfId="0" applyFont="1" applyBorder="1" applyAlignment="1">
      <alignment horizontal="center"/>
    </xf>
    <xf numFmtId="0" fontId="17" fillId="0" borderId="54" xfId="0" applyFont="1" applyBorder="1" applyAlignment="1">
      <alignment horizontal="center"/>
    </xf>
    <xf numFmtId="0" fontId="17" fillId="6" borderId="52" xfId="0" applyFont="1" applyFill="1" applyBorder="1" applyAlignment="1">
      <alignment horizontal="center"/>
    </xf>
    <xf numFmtId="0" fontId="6" fillId="6" borderId="53" xfId="0" applyFont="1" applyFill="1" applyBorder="1" applyAlignment="1">
      <alignment horizontal="center"/>
    </xf>
    <xf numFmtId="14" fontId="6" fillId="6" borderId="53" xfId="0" applyNumberFormat="1" applyFont="1" applyFill="1" applyBorder="1" applyAlignment="1">
      <alignment horizontal="center"/>
    </xf>
    <xf numFmtId="16" fontId="6" fillId="6" borderId="53" xfId="0" applyNumberFormat="1" applyFont="1" applyFill="1" applyBorder="1" applyAlignment="1">
      <alignment horizontal="center"/>
    </xf>
    <xf numFmtId="0" fontId="6" fillId="6" borderId="54" xfId="0" applyFont="1" applyFill="1" applyBorder="1" applyAlignment="1">
      <alignment horizontal="center"/>
    </xf>
    <xf numFmtId="0" fontId="6" fillId="6" borderId="55" xfId="0" applyFont="1" applyFill="1" applyBorder="1"/>
    <xf numFmtId="0" fontId="18" fillId="0" borderId="56" xfId="0" applyFont="1" applyBorder="1"/>
    <xf numFmtId="0" fontId="17" fillId="0" borderId="57" xfId="0" applyFont="1" applyBorder="1" applyAlignment="1">
      <alignment horizontal="center"/>
    </xf>
    <xf numFmtId="0" fontId="17" fillId="0" borderId="58" xfId="0" applyFont="1" applyBorder="1" applyAlignment="1">
      <alignment horizontal="center"/>
    </xf>
    <xf numFmtId="0" fontId="17" fillId="3" borderId="58" xfId="0" applyFont="1" applyFill="1" applyBorder="1" applyAlignment="1">
      <alignment horizontal="center"/>
    </xf>
    <xf numFmtId="0" fontId="17" fillId="0" borderId="59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14" fontId="6" fillId="0" borderId="58" xfId="0" applyNumberFormat="1" applyFont="1" applyBorder="1" applyAlignment="1">
      <alignment horizontal="center"/>
    </xf>
    <xf numFmtId="16" fontId="6" fillId="0" borderId="58" xfId="0" applyNumberFormat="1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18" fillId="0" borderId="61" xfId="0" applyFont="1" applyBorder="1"/>
    <xf numFmtId="0" fontId="17" fillId="0" borderId="62" xfId="0" applyFont="1" applyBorder="1" applyAlignment="1">
      <alignment horizontal="center"/>
    </xf>
    <xf numFmtId="0" fontId="17" fillId="0" borderId="63" xfId="0" applyFont="1" applyBorder="1" applyAlignment="1">
      <alignment horizontal="center"/>
    </xf>
    <xf numFmtId="0" fontId="17" fillId="3" borderId="63" xfId="0" applyFont="1" applyFill="1" applyBorder="1" applyAlignment="1">
      <alignment horizontal="center"/>
    </xf>
    <xf numFmtId="0" fontId="17" fillId="0" borderId="64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18" fillId="0" borderId="66" xfId="0" applyFont="1" applyBorder="1"/>
    <xf numFmtId="0" fontId="17" fillId="0" borderId="13" xfId="0" applyFont="1" applyBorder="1"/>
    <xf numFmtId="0" fontId="17" fillId="5" borderId="13" xfId="0" applyFont="1" applyFill="1" applyBorder="1" applyAlignment="1">
      <alignment horizontal="center"/>
    </xf>
    <xf numFmtId="0" fontId="6" fillId="6" borderId="68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6" borderId="69" xfId="0" applyFont="1" applyFill="1" applyBorder="1" applyAlignment="1">
      <alignment horizontal="center"/>
    </xf>
    <xf numFmtId="0" fontId="6" fillId="6" borderId="70" xfId="0" applyFont="1" applyFill="1" applyBorder="1"/>
    <xf numFmtId="0" fontId="17" fillId="0" borderId="10" xfId="0" applyFont="1" applyBorder="1"/>
    <xf numFmtId="0" fontId="17" fillId="0" borderId="10" xfId="0" applyFont="1" applyBorder="1" applyAlignment="1">
      <alignment horizontal="center"/>
    </xf>
    <xf numFmtId="0" fontId="17" fillId="3" borderId="10" xfId="0" applyFont="1" applyFill="1" applyBorder="1" applyAlignment="1">
      <alignment horizontal="center"/>
    </xf>
    <xf numFmtId="0" fontId="6" fillId="0" borderId="7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73" xfId="0" applyFont="1" applyBorder="1" applyAlignment="1">
      <alignment horizontal="center"/>
    </xf>
    <xf numFmtId="0" fontId="6" fillId="0" borderId="74" xfId="0" applyFont="1" applyBorder="1"/>
    <xf numFmtId="0" fontId="17" fillId="0" borderId="52" xfId="0" applyFont="1" applyBorder="1"/>
    <xf numFmtId="0" fontId="17" fillId="2" borderId="75" xfId="0" applyFont="1" applyFill="1" applyBorder="1" applyAlignment="1">
      <alignment horizontal="center"/>
    </xf>
    <xf numFmtId="0" fontId="17" fillId="0" borderId="53" xfId="0" applyFont="1" applyBorder="1"/>
    <xf numFmtId="0" fontId="17" fillId="8" borderId="53" xfId="0" applyFont="1" applyFill="1" applyBorder="1" applyAlignment="1">
      <alignment horizontal="center"/>
    </xf>
    <xf numFmtId="0" fontId="17" fillId="0" borderId="76" xfId="0" applyFont="1" applyBorder="1"/>
    <xf numFmtId="0" fontId="6" fillId="6" borderId="77" xfId="0" applyFont="1" applyFill="1" applyBorder="1" applyAlignment="1">
      <alignment horizontal="center"/>
    </xf>
    <xf numFmtId="0" fontId="6" fillId="6" borderId="78" xfId="0" applyFont="1" applyFill="1" applyBorder="1"/>
    <xf numFmtId="0" fontId="17" fillId="0" borderId="57" xfId="0" applyFont="1" applyBorder="1"/>
    <xf numFmtId="0" fontId="17" fillId="0" borderId="58" xfId="0" applyFont="1" applyBorder="1"/>
    <xf numFmtId="0" fontId="17" fillId="8" borderId="58" xfId="0" applyFont="1" applyFill="1" applyBorder="1" applyAlignment="1">
      <alignment horizontal="center"/>
    </xf>
    <xf numFmtId="0" fontId="17" fillId="0" borderId="79" xfId="0" applyFont="1" applyBorder="1"/>
    <xf numFmtId="0" fontId="6" fillId="0" borderId="80" xfId="0" applyFont="1" applyBorder="1" applyAlignment="1">
      <alignment horizontal="center"/>
    </xf>
    <xf numFmtId="0" fontId="17" fillId="0" borderId="62" xfId="0" applyFont="1" applyBorder="1"/>
    <xf numFmtId="0" fontId="17" fillId="0" borderId="63" xfId="0" applyFont="1" applyBorder="1"/>
    <xf numFmtId="0" fontId="17" fillId="8" borderId="63" xfId="0" applyFont="1" applyFill="1" applyBorder="1" applyAlignment="1">
      <alignment horizontal="center"/>
    </xf>
    <xf numFmtId="0" fontId="17" fillId="8" borderId="81" xfId="0" applyFont="1" applyFill="1" applyBorder="1" applyAlignment="1">
      <alignment horizontal="center"/>
    </xf>
    <xf numFmtId="0" fontId="17" fillId="0" borderId="82" xfId="0" applyFont="1" applyBorder="1"/>
    <xf numFmtId="0" fontId="6" fillId="0" borderId="83" xfId="0" applyFont="1" applyBorder="1" applyAlignment="1">
      <alignment horizontal="center"/>
    </xf>
    <xf numFmtId="0" fontId="17" fillId="2" borderId="13" xfId="0" applyFont="1" applyFill="1" applyBorder="1" applyAlignment="1">
      <alignment horizontal="center"/>
    </xf>
    <xf numFmtId="0" fontId="17" fillId="0" borderId="43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6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7" fillId="0" borderId="84" xfId="0" applyFont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/>
    </xf>
    <xf numFmtId="0" fontId="6" fillId="6" borderId="16" xfId="0" applyFont="1" applyFill="1" applyBorder="1"/>
    <xf numFmtId="0" fontId="17" fillId="3" borderId="8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16" xfId="0" applyFont="1" applyBorder="1"/>
    <xf numFmtId="0" fontId="21" fillId="0" borderId="85" xfId="0" applyFont="1" applyBorder="1"/>
    <xf numFmtId="0" fontId="17" fillId="0" borderId="34" xfId="0" applyFont="1" applyBorder="1" applyAlignment="1">
      <alignment horizontal="center"/>
    </xf>
    <xf numFmtId="0" fontId="17" fillId="4" borderId="34" xfId="0" applyFont="1" applyFill="1" applyBorder="1" applyAlignment="1">
      <alignment horizontal="center"/>
    </xf>
    <xf numFmtId="0" fontId="17" fillId="0" borderId="86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/>
    <xf numFmtId="0" fontId="18" fillId="0" borderId="87" xfId="0" applyFont="1" applyBorder="1"/>
    <xf numFmtId="0" fontId="17" fillId="5" borderId="15" xfId="0" applyFont="1" applyFill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6" fillId="6" borderId="30" xfId="0" applyFont="1" applyFill="1" applyBorder="1"/>
    <xf numFmtId="0" fontId="21" fillId="0" borderId="66" xfId="0" applyFont="1" applyBorder="1"/>
    <xf numFmtId="0" fontId="17" fillId="0" borderId="31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89" xfId="0" applyFont="1" applyBorder="1" applyAlignment="1">
      <alignment horizontal="center"/>
    </xf>
    <xf numFmtId="0" fontId="17" fillId="3" borderId="34" xfId="0" applyFont="1" applyFill="1" applyBorder="1" applyAlignment="1">
      <alignment horizontal="center"/>
    </xf>
    <xf numFmtId="0" fontId="18" fillId="0" borderId="90" xfId="0" applyFont="1" applyBorder="1"/>
    <xf numFmtId="0" fontId="17" fillId="0" borderId="15" xfId="0" applyFont="1" applyBorder="1"/>
    <xf numFmtId="0" fontId="17" fillId="0" borderId="88" xfId="0" applyFont="1" applyBorder="1"/>
    <xf numFmtId="0" fontId="21" fillId="0" borderId="91" xfId="0" applyFont="1" applyBorder="1"/>
    <xf numFmtId="0" fontId="17" fillId="0" borderId="8" xfId="0" applyFont="1" applyBorder="1"/>
    <xf numFmtId="0" fontId="17" fillId="0" borderId="84" xfId="0" applyFont="1" applyBorder="1"/>
    <xf numFmtId="0" fontId="21" fillId="0" borderId="92" xfId="0" applyFont="1" applyBorder="1"/>
    <xf numFmtId="0" fontId="17" fillId="3" borderId="71" xfId="0" applyFont="1" applyFill="1" applyBorder="1" applyAlignment="1">
      <alignment horizontal="center"/>
    </xf>
    <xf numFmtId="0" fontId="18" fillId="0" borderId="93" xfId="0" applyFont="1" applyBorder="1"/>
    <xf numFmtId="0" fontId="6" fillId="6" borderId="54" xfId="0" applyFont="1" applyFill="1" applyBorder="1"/>
    <xf numFmtId="0" fontId="18" fillId="0" borderId="94" xfId="0" applyFont="1" applyBorder="1"/>
    <xf numFmtId="0" fontId="3" fillId="8" borderId="62" xfId="0" applyFont="1" applyFill="1" applyBorder="1" applyAlignment="1">
      <alignment horizontal="center"/>
    </xf>
    <xf numFmtId="0" fontId="3" fillId="0" borderId="63" xfId="0" applyFont="1" applyBorder="1"/>
    <xf numFmtId="0" fontId="3" fillId="3" borderId="81" xfId="0" applyFont="1" applyFill="1" applyBorder="1" applyAlignment="1">
      <alignment horizontal="center"/>
    </xf>
    <xf numFmtId="0" fontId="3" fillId="0" borderId="82" xfId="0" applyFont="1" applyBorder="1"/>
    <xf numFmtId="0" fontId="2" fillId="8" borderId="83" xfId="0" applyFont="1" applyFill="1" applyBorder="1" applyAlignment="1">
      <alignment horizontal="center"/>
    </xf>
    <xf numFmtId="0" fontId="2" fillId="8" borderId="63" xfId="0" applyFont="1" applyFill="1" applyBorder="1" applyAlignment="1">
      <alignment horizontal="center"/>
    </xf>
    <xf numFmtId="0" fontId="19" fillId="0" borderId="95" xfId="0" applyFont="1" applyBorder="1"/>
    <xf numFmtId="0" fontId="22" fillId="0" borderId="60" xfId="0" applyFont="1" applyBorder="1"/>
    <xf numFmtId="0" fontId="21" fillId="0" borderId="45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34" xfId="0" applyFont="1" applyBorder="1" applyAlignment="1">
      <alignment horizontal="center"/>
    </xf>
    <xf numFmtId="14" fontId="22" fillId="0" borderId="63" xfId="0" applyNumberFormat="1" applyFont="1" applyBorder="1" applyAlignment="1">
      <alignment horizontal="center"/>
    </xf>
    <xf numFmtId="0" fontId="22" fillId="0" borderId="65" xfId="0" applyFont="1" applyBorder="1"/>
    <xf numFmtId="0" fontId="22" fillId="0" borderId="16" xfId="0" applyFont="1" applyBorder="1"/>
    <xf numFmtId="0" fontId="22" fillId="0" borderId="38" xfId="0" applyFont="1" applyBorder="1"/>
    <xf numFmtId="0" fontId="6" fillId="6" borderId="96" xfId="0" applyFont="1" applyFill="1" applyBorder="1" applyAlignment="1">
      <alignment horizontal="center"/>
    </xf>
    <xf numFmtId="0" fontId="6" fillId="6" borderId="75" xfId="0" applyFont="1" applyFill="1" applyBorder="1" applyAlignment="1">
      <alignment horizontal="center"/>
    </xf>
    <xf numFmtId="0" fontId="6" fillId="6" borderId="97" xfId="0" applyFont="1" applyFill="1" applyBorder="1" applyAlignment="1">
      <alignment horizontal="center"/>
    </xf>
    <xf numFmtId="0" fontId="6" fillId="6" borderId="98" xfId="0" applyFont="1" applyFill="1" applyBorder="1" applyAlignment="1">
      <alignment horizontal="center"/>
    </xf>
    <xf numFmtId="0" fontId="6" fillId="0" borderId="99" xfId="0" applyFont="1" applyBorder="1" applyAlignment="1">
      <alignment horizontal="center"/>
    </xf>
    <xf numFmtId="0" fontId="6" fillId="0" borderId="81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17" fillId="0" borderId="69" xfId="0" applyFont="1" applyBorder="1"/>
    <xf numFmtId="0" fontId="17" fillId="0" borderId="73" xfId="0" applyFont="1" applyBorder="1"/>
    <xf numFmtId="0" fontId="6" fillId="6" borderId="102" xfId="0" applyFont="1" applyFill="1" applyBorder="1"/>
    <xf numFmtId="0" fontId="17" fillId="0" borderId="103" xfId="0" applyFont="1" applyBorder="1" applyAlignment="1">
      <alignment horizontal="center"/>
    </xf>
    <xf numFmtId="0" fontId="6" fillId="0" borderId="104" xfId="0" applyFont="1" applyBorder="1" applyAlignment="1">
      <alignment horizontal="center"/>
    </xf>
    <xf numFmtId="14" fontId="22" fillId="0" borderId="104" xfId="0" applyNumberFormat="1" applyFont="1" applyBorder="1" applyAlignment="1">
      <alignment horizontal="center"/>
    </xf>
    <xf numFmtId="14" fontId="6" fillId="0" borderId="104" xfId="0" applyNumberFormat="1" applyFont="1" applyBorder="1" applyAlignment="1">
      <alignment horizontal="center"/>
    </xf>
    <xf numFmtId="16" fontId="6" fillId="0" borderId="104" xfId="0" applyNumberFormat="1" applyFont="1" applyBorder="1" applyAlignment="1">
      <alignment horizontal="center"/>
    </xf>
    <xf numFmtId="0" fontId="6" fillId="0" borderId="105" xfId="0" applyFont="1" applyBorder="1" applyAlignment="1">
      <alignment horizontal="center"/>
    </xf>
    <xf numFmtId="0" fontId="6" fillId="6" borderId="106" xfId="0" applyFont="1" applyFill="1" applyBorder="1" applyAlignment="1">
      <alignment horizontal="center"/>
    </xf>
    <xf numFmtId="0" fontId="6" fillId="6" borderId="107" xfId="0" applyFont="1" applyFill="1" applyBorder="1" applyAlignment="1">
      <alignment horizontal="center"/>
    </xf>
    <xf numFmtId="0" fontId="6" fillId="6" borderId="108" xfId="0" applyFont="1" applyFill="1" applyBorder="1" applyAlignment="1">
      <alignment horizontal="center"/>
    </xf>
    <xf numFmtId="0" fontId="11" fillId="12" borderId="8" xfId="0" applyFont="1" applyFill="1" applyBorder="1" applyAlignment="1">
      <alignment horizontal="left"/>
    </xf>
    <xf numFmtId="0" fontId="11" fillId="12" borderId="8" xfId="0" applyFont="1" applyFill="1" applyBorder="1" applyAlignment="1">
      <alignment horizontal="center"/>
    </xf>
    <xf numFmtId="16" fontId="11" fillId="0" borderId="8" xfId="0" applyNumberFormat="1" applyFont="1" applyBorder="1" applyAlignment="1">
      <alignment horizontal="center"/>
    </xf>
    <xf numFmtId="0" fontId="11" fillId="11" borderId="0" xfId="0" applyFont="1" applyFill="1"/>
    <xf numFmtId="14" fontId="11" fillId="11" borderId="58" xfId="0" applyNumberFormat="1" applyFont="1" applyFill="1" applyBorder="1" applyAlignment="1">
      <alignment horizontal="center"/>
    </xf>
    <xf numFmtId="0" fontId="11" fillId="11" borderId="58" xfId="0" applyFont="1" applyFill="1" applyBorder="1" applyAlignment="1">
      <alignment horizontal="center"/>
    </xf>
    <xf numFmtId="0" fontId="12" fillId="11" borderId="58" xfId="0" applyFont="1" applyFill="1" applyBorder="1" applyAlignment="1">
      <alignment wrapText="1"/>
    </xf>
    <xf numFmtId="0" fontId="11" fillId="11" borderId="58" xfId="0" applyFont="1" applyFill="1" applyBorder="1"/>
    <xf numFmtId="14" fontId="11" fillId="0" borderId="58" xfId="0" applyNumberFormat="1" applyFont="1" applyBorder="1" applyAlignment="1">
      <alignment horizontal="center"/>
    </xf>
    <xf numFmtId="0" fontId="11" fillId="0" borderId="58" xfId="0" applyFont="1" applyBorder="1"/>
    <xf numFmtId="0" fontId="11" fillId="0" borderId="58" xfId="0" applyFont="1" applyBorder="1" applyAlignment="1">
      <alignment wrapText="1"/>
    </xf>
    <xf numFmtId="14" fontId="11" fillId="0" borderId="10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0" xfId="0" applyFont="1" applyBorder="1" applyAlignment="1">
      <alignment wrapText="1"/>
    </xf>
    <xf numFmtId="0" fontId="11" fillId="0" borderId="10" xfId="0" applyFont="1" applyBorder="1"/>
    <xf numFmtId="14" fontId="0" fillId="0" borderId="8" xfId="0" applyNumberFormat="1" applyBorder="1" applyProtection="1">
      <protection locked="0"/>
    </xf>
    <xf numFmtId="0" fontId="11" fillId="0" borderId="58" xfId="0" applyFont="1" applyBorder="1" applyAlignment="1">
      <alignment horizontal="center"/>
    </xf>
    <xf numFmtId="14" fontId="11" fillId="0" borderId="104" xfId="0" applyNumberFormat="1" applyFont="1" applyBorder="1" applyAlignment="1">
      <alignment horizontal="center"/>
    </xf>
    <xf numFmtId="0" fontId="11" fillId="0" borderId="104" xfId="0" applyFont="1" applyBorder="1"/>
    <xf numFmtId="0" fontId="11" fillId="0" borderId="31" xfId="0" applyFont="1" applyBorder="1" applyAlignment="1">
      <alignment horizontal="left"/>
    </xf>
    <xf numFmtId="0" fontId="11" fillId="0" borderId="14" xfId="0" applyFont="1" applyBorder="1"/>
    <xf numFmtId="0" fontId="11" fillId="0" borderId="8" xfId="0" applyFont="1" applyBorder="1" applyAlignment="1">
      <alignment horizontal="left"/>
    </xf>
    <xf numFmtId="0" fontId="24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/>
    <xf numFmtId="0" fontId="12" fillId="0" borderId="10" xfId="0" applyFont="1" applyBorder="1" applyAlignment="1">
      <alignment horizontal="left"/>
    </xf>
    <xf numFmtId="0" fontId="12" fillId="0" borderId="13" xfId="0" applyFont="1" applyBorder="1" applyAlignment="1">
      <alignment horizontal="center"/>
    </xf>
    <xf numFmtId="0" fontId="12" fillId="0" borderId="13" xfId="0" applyFont="1" applyBorder="1"/>
    <xf numFmtId="0" fontId="12" fillId="0" borderId="13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14" fontId="11" fillId="0" borderId="13" xfId="0" applyNumberFormat="1" applyFont="1" applyBorder="1" applyAlignment="1">
      <alignment horizontal="center"/>
    </xf>
    <xf numFmtId="0" fontId="11" fillId="0" borderId="13" xfId="0" applyFont="1" applyBorder="1"/>
    <xf numFmtId="0" fontId="11" fillId="0" borderId="13" xfId="0" applyFont="1" applyBorder="1" applyAlignment="1">
      <alignment horizontal="left"/>
    </xf>
    <xf numFmtId="0" fontId="11" fillId="0" borderId="58" xfId="0" applyFont="1" applyBorder="1" applyAlignment="1">
      <alignment horizontal="left"/>
    </xf>
    <xf numFmtId="0" fontId="12" fillId="0" borderId="0" xfId="0" applyFont="1" applyAlignment="1">
      <alignment horizontal="left"/>
    </xf>
    <xf numFmtId="14" fontId="12" fillId="0" borderId="8" xfId="0" applyNumberFormat="1" applyFont="1" applyBorder="1" applyAlignment="1">
      <alignment horizontal="center"/>
    </xf>
    <xf numFmtId="14" fontId="11" fillId="0" borderId="107" xfId="0" applyNumberFormat="1" applyFont="1" applyBorder="1" applyAlignment="1">
      <alignment horizontal="center"/>
    </xf>
    <xf numFmtId="0" fontId="11" fillId="0" borderId="107" xfId="0" applyFont="1" applyBorder="1" applyAlignment="1">
      <alignment horizontal="center"/>
    </xf>
    <xf numFmtId="0" fontId="11" fillId="0" borderId="107" xfId="0" applyFont="1" applyBorder="1"/>
    <xf numFmtId="0" fontId="11" fillId="0" borderId="107" xfId="0" applyFont="1" applyBorder="1" applyAlignment="1">
      <alignment horizontal="left"/>
    </xf>
    <xf numFmtId="0" fontId="11" fillId="0" borderId="104" xfId="0" applyFont="1" applyBorder="1" applyAlignment="1">
      <alignment horizontal="center"/>
    </xf>
    <xf numFmtId="0" fontId="11" fillId="0" borderId="104" xfId="0" applyFont="1" applyBorder="1" applyAlignment="1">
      <alignment horizontal="left"/>
    </xf>
    <xf numFmtId="0" fontId="11" fillId="12" borderId="58" xfId="0" applyFont="1" applyFill="1" applyBorder="1" applyAlignment="1">
      <alignment horizontal="left"/>
    </xf>
    <xf numFmtId="0" fontId="11" fillId="12" borderId="0" xfId="0" applyFont="1" applyFill="1" applyAlignment="1">
      <alignment horizontal="center"/>
    </xf>
    <xf numFmtId="0" fontId="11" fillId="12" borderId="110" xfId="0" applyFont="1" applyFill="1" applyBorder="1" applyAlignment="1">
      <alignment horizontal="left"/>
    </xf>
    <xf numFmtId="0" fontId="11" fillId="12" borderId="111" xfId="0" applyFont="1" applyFill="1" applyBorder="1" applyAlignment="1">
      <alignment horizontal="center"/>
    </xf>
    <xf numFmtId="0" fontId="11" fillId="12" borderId="103" xfId="0" applyFont="1" applyFill="1" applyBorder="1"/>
    <xf numFmtId="0" fontId="11" fillId="12" borderId="112" xfId="0" applyFont="1" applyFill="1" applyBorder="1" applyAlignment="1">
      <alignment horizontal="left"/>
    </xf>
    <xf numFmtId="0" fontId="11" fillId="12" borderId="113" xfId="0" applyFont="1" applyFill="1" applyBorder="1"/>
    <xf numFmtId="0" fontId="11" fillId="0" borderId="115" xfId="0" applyFont="1" applyBorder="1" applyAlignment="1">
      <alignment horizontal="center"/>
    </xf>
    <xf numFmtId="0" fontId="11" fillId="0" borderId="116" xfId="0" applyFont="1" applyBorder="1"/>
    <xf numFmtId="0" fontId="11" fillId="12" borderId="79" xfId="0" applyFont="1" applyFill="1" applyBorder="1" applyAlignment="1">
      <alignment horizontal="left"/>
    </xf>
    <xf numFmtId="0" fontId="11" fillId="12" borderId="109" xfId="0" applyFont="1" applyFill="1" applyBorder="1" applyAlignment="1">
      <alignment horizontal="center"/>
    </xf>
    <xf numFmtId="0" fontId="11" fillId="12" borderId="57" xfId="0" applyFont="1" applyFill="1" applyBorder="1"/>
    <xf numFmtId="0" fontId="11" fillId="0" borderId="79" xfId="0" applyFont="1" applyBorder="1" applyAlignment="1">
      <alignment horizontal="left"/>
    </xf>
    <xf numFmtId="0" fontId="11" fillId="0" borderId="57" xfId="0" applyFont="1" applyBorder="1"/>
    <xf numFmtId="14" fontId="11" fillId="0" borderId="43" xfId="0" applyNumberFormat="1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11" fillId="0" borderId="114" xfId="0" applyFont="1" applyBorder="1" applyAlignment="1">
      <alignment horizontal="center"/>
    </xf>
    <xf numFmtId="0" fontId="12" fillId="0" borderId="107" xfId="0" applyFont="1" applyBorder="1" applyAlignment="1">
      <alignment horizontal="center"/>
    </xf>
    <xf numFmtId="0" fontId="23" fillId="0" borderId="58" xfId="0" applyFont="1" applyBorder="1"/>
    <xf numFmtId="14" fontId="11" fillId="0" borderId="79" xfId="0" applyNumberFormat="1" applyFont="1" applyBorder="1" applyAlignment="1">
      <alignment horizontal="center"/>
    </xf>
    <xf numFmtId="14" fontId="11" fillId="0" borderId="110" xfId="0" applyNumberFormat="1" applyFont="1" applyBorder="1" applyAlignment="1">
      <alignment horizontal="center"/>
    </xf>
    <xf numFmtId="0" fontId="11" fillId="0" borderId="57" xfId="0" applyFont="1" applyBorder="1" applyAlignment="1">
      <alignment wrapText="1"/>
    </xf>
    <xf numFmtId="0" fontId="11" fillId="0" borderId="103" xfId="0" applyFont="1" applyBorder="1" applyAlignment="1">
      <alignment wrapText="1"/>
    </xf>
    <xf numFmtId="14" fontId="26" fillId="0" borderId="79" xfId="0" applyNumberFormat="1" applyFont="1" applyBorder="1" applyAlignment="1">
      <alignment horizontal="center"/>
    </xf>
    <xf numFmtId="0" fontId="26" fillId="0" borderId="58" xfId="0" applyFont="1" applyBorder="1"/>
    <xf numFmtId="0" fontId="26" fillId="0" borderId="107" xfId="0" applyFont="1" applyBorder="1"/>
    <xf numFmtId="0" fontId="11" fillId="0" borderId="68" xfId="0" applyFont="1" applyBorder="1"/>
    <xf numFmtId="0" fontId="11" fillId="0" borderId="43" xfId="0" applyFont="1" applyBorder="1"/>
    <xf numFmtId="0" fontId="12" fillId="0" borderId="58" xfId="0" applyFont="1" applyBorder="1" applyAlignment="1">
      <alignment horizontal="center"/>
    </xf>
    <xf numFmtId="0" fontId="12" fillId="0" borderId="58" xfId="0" applyFont="1" applyBorder="1" applyAlignment="1">
      <alignment wrapText="1"/>
    </xf>
    <xf numFmtId="0" fontId="12" fillId="0" borderId="14" xfId="0" applyFont="1" applyBorder="1"/>
    <xf numFmtId="0" fontId="26" fillId="0" borderId="57" xfId="0" applyFont="1" applyBorder="1" applyAlignment="1">
      <alignment wrapText="1"/>
    </xf>
    <xf numFmtId="0" fontId="27" fillId="0" borderId="58" xfId="0" applyFont="1" applyBorder="1"/>
    <xf numFmtId="0" fontId="26" fillId="0" borderId="58" xfId="0" applyFont="1" applyBorder="1" applyAlignment="1">
      <alignment horizontal="center"/>
    </xf>
    <xf numFmtId="0" fontId="26" fillId="0" borderId="58" xfId="0" applyFont="1" applyBorder="1" applyAlignment="1">
      <alignment wrapText="1"/>
    </xf>
    <xf numFmtId="14" fontId="26" fillId="0" borderId="58" xfId="0" applyNumberFormat="1" applyFont="1" applyBorder="1" applyAlignment="1">
      <alignment horizontal="center"/>
    </xf>
    <xf numFmtId="0" fontId="28" fillId="0" borderId="0" xfId="0" applyFont="1"/>
    <xf numFmtId="0" fontId="29" fillId="0" borderId="0" xfId="0" applyFont="1"/>
    <xf numFmtId="0" fontId="29" fillId="0" borderId="1" xfId="0" applyFont="1" applyBorder="1"/>
    <xf numFmtId="0" fontId="30" fillId="0" borderId="21" xfId="0" applyFont="1" applyBorder="1"/>
    <xf numFmtId="0" fontId="31" fillId="0" borderId="32" xfId="0" applyFont="1" applyBorder="1"/>
    <xf numFmtId="0" fontId="32" fillId="0" borderId="0" xfId="0" applyFont="1"/>
    <xf numFmtId="0" fontId="31" fillId="0" borderId="6" xfId="0" applyFont="1" applyBorder="1"/>
    <xf numFmtId="0" fontId="29" fillId="14" borderId="0" xfId="0" applyFont="1" applyFill="1"/>
    <xf numFmtId="0" fontId="33" fillId="0" borderId="6" xfId="0" applyFont="1" applyBorder="1"/>
    <xf numFmtId="0" fontId="33" fillId="0" borderId="32" xfId="0" applyFont="1" applyBorder="1"/>
    <xf numFmtId="0" fontId="31" fillId="0" borderId="20" xfId="0" applyFont="1" applyBorder="1"/>
    <xf numFmtId="0" fontId="30" fillId="0" borderId="6" xfId="0" applyFont="1" applyBorder="1"/>
    <xf numFmtId="0" fontId="34" fillId="0" borderId="6" xfId="0" applyFont="1" applyBorder="1"/>
    <xf numFmtId="0" fontId="37" fillId="0" borderId="6" xfId="0" applyFont="1" applyBorder="1"/>
    <xf numFmtId="0" fontId="30" fillId="0" borderId="20" xfId="0" applyFont="1" applyBorder="1"/>
    <xf numFmtId="0" fontId="30" fillId="0" borderId="32" xfId="0" applyFont="1" applyBorder="1"/>
    <xf numFmtId="0" fontId="30" fillId="0" borderId="0" xfId="0" applyFont="1"/>
    <xf numFmtId="0" fontId="38" fillId="0" borderId="0" xfId="0" applyFont="1"/>
    <xf numFmtId="0" fontId="10" fillId="0" borderId="0" xfId="1" applyFill="1" applyBorder="1" applyAlignment="1"/>
    <xf numFmtId="0" fontId="39" fillId="0" borderId="0" xfId="0" applyFont="1"/>
    <xf numFmtId="0" fontId="34" fillId="0" borderId="0" xfId="0" applyFont="1"/>
    <xf numFmtId="0" fontId="37" fillId="0" borderId="0" xfId="0" applyFont="1"/>
    <xf numFmtId="0" fontId="29" fillId="0" borderId="51" xfId="0" applyFont="1" applyBorder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47" xfId="0" applyFont="1" applyBorder="1" applyAlignment="1">
      <alignment horizontal="center" textRotation="90"/>
    </xf>
    <xf numFmtId="0" fontId="30" fillId="0" borderId="47" xfId="0" applyFont="1" applyBorder="1" applyAlignment="1">
      <alignment horizontal="center"/>
    </xf>
    <xf numFmtId="0" fontId="29" fillId="0" borderId="117" xfId="0" applyFont="1" applyBorder="1" applyAlignment="1">
      <alignment horizontal="center"/>
    </xf>
    <xf numFmtId="0" fontId="29" fillId="0" borderId="23" xfId="0" applyFont="1" applyBorder="1" applyAlignment="1">
      <alignment horizontal="center" textRotation="90"/>
    </xf>
    <xf numFmtId="0" fontId="29" fillId="0" borderId="22" xfId="0" applyFont="1" applyBorder="1" applyAlignment="1">
      <alignment horizontal="center" textRotation="90"/>
    </xf>
    <xf numFmtId="0" fontId="29" fillId="13" borderId="22" xfId="0" applyFont="1" applyFill="1" applyBorder="1" applyAlignment="1">
      <alignment horizontal="center" textRotation="255"/>
    </xf>
    <xf numFmtId="0" fontId="29" fillId="0" borderId="22" xfId="0" applyFont="1" applyBorder="1" applyAlignment="1">
      <alignment horizontal="center"/>
    </xf>
    <xf numFmtId="0" fontId="29" fillId="0" borderId="118" xfId="0" applyFont="1" applyBorder="1" applyAlignment="1">
      <alignment horizontal="center"/>
    </xf>
    <xf numFmtId="0" fontId="29" fillId="0" borderId="89" xfId="0" applyFont="1" applyBorder="1" applyAlignment="1">
      <alignment horizontal="center"/>
    </xf>
    <xf numFmtId="0" fontId="29" fillId="0" borderId="119" xfId="0" applyFont="1" applyBorder="1" applyAlignment="1">
      <alignment horizontal="center"/>
    </xf>
    <xf numFmtId="0" fontId="29" fillId="15" borderId="119" xfId="0" applyFont="1" applyFill="1" applyBorder="1" applyAlignment="1">
      <alignment horizontal="center"/>
    </xf>
    <xf numFmtId="0" fontId="29" fillId="0" borderId="121" xfId="0" applyFont="1" applyBorder="1" applyAlignment="1">
      <alignment horizontal="center"/>
    </xf>
    <xf numFmtId="0" fontId="29" fillId="16" borderId="119" xfId="0" applyFont="1" applyFill="1" applyBorder="1" applyAlignment="1">
      <alignment horizontal="center"/>
    </xf>
    <xf numFmtId="0" fontId="29" fillId="15" borderId="68" xfId="0" applyFont="1" applyFill="1" applyBorder="1" applyAlignment="1">
      <alignment horizontal="center"/>
    </xf>
    <xf numFmtId="0" fontId="29" fillId="0" borderId="68" xfId="0" applyFont="1" applyBorder="1" applyAlignment="1">
      <alignment horizontal="center"/>
    </xf>
    <xf numFmtId="0" fontId="29" fillId="0" borderId="120" xfId="0" applyFont="1" applyBorder="1" applyAlignment="1">
      <alignment horizontal="center"/>
    </xf>
    <xf numFmtId="0" fontId="29" fillId="14" borderId="68" xfId="0" applyFont="1" applyFill="1" applyBorder="1" applyAlignment="1">
      <alignment horizontal="center"/>
    </xf>
    <xf numFmtId="0" fontId="32" fillId="15" borderId="68" xfId="0" applyFont="1" applyFill="1" applyBorder="1" applyAlignment="1">
      <alignment horizontal="center"/>
    </xf>
    <xf numFmtId="0" fontId="29" fillId="16" borderId="68" xfId="0" applyFont="1" applyFill="1" applyBorder="1" applyAlignment="1">
      <alignment horizontal="center"/>
    </xf>
    <xf numFmtId="0" fontId="29" fillId="13" borderId="119" xfId="0" applyFont="1" applyFill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29" fillId="17" borderId="68" xfId="0" applyFont="1" applyFill="1" applyBorder="1" applyAlignment="1">
      <alignment horizontal="center"/>
    </xf>
    <xf numFmtId="0" fontId="29" fillId="15" borderId="13" xfId="0" applyFont="1" applyFill="1" applyBorder="1" applyAlignment="1">
      <alignment horizontal="center"/>
    </xf>
    <xf numFmtId="0" fontId="29" fillId="0" borderId="122" xfId="0" applyFont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29" fillId="15" borderId="14" xfId="0" applyFont="1" applyFill="1" applyBorder="1" applyAlignment="1">
      <alignment horizontal="center"/>
    </xf>
    <xf numFmtId="0" fontId="29" fillId="17" borderId="13" xfId="0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0" fontId="29" fillId="16" borderId="122" xfId="0" applyFont="1" applyFill="1" applyBorder="1" applyAlignment="1">
      <alignment horizontal="center"/>
    </xf>
    <xf numFmtId="0" fontId="29" fillId="0" borderId="72" xfId="0" applyFont="1" applyBorder="1" applyAlignment="1">
      <alignment horizontal="center"/>
    </xf>
    <xf numFmtId="0" fontId="29" fillId="0" borderId="39" xfId="0" applyFont="1" applyBorder="1" applyAlignment="1">
      <alignment horizontal="center"/>
    </xf>
    <xf numFmtId="0" fontId="29" fillId="17" borderId="2" xfId="0" applyFont="1" applyFill="1" applyBorder="1" applyAlignment="1">
      <alignment horizontal="center"/>
    </xf>
    <xf numFmtId="0" fontId="29" fillId="0" borderId="47" xfId="0" applyFont="1" applyBorder="1" applyAlignment="1">
      <alignment horizontal="center"/>
    </xf>
    <xf numFmtId="0" fontId="34" fillId="0" borderId="28" xfId="0" applyFont="1" applyBorder="1" applyAlignment="1">
      <alignment horizontal="center"/>
    </xf>
    <xf numFmtId="0" fontId="34" fillId="18" borderId="28" xfId="0" applyFont="1" applyFill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5" fillId="14" borderId="28" xfId="0" applyFont="1" applyFill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9" fillId="0" borderId="123" xfId="0" applyFont="1" applyBorder="1" applyAlignment="1">
      <alignment horizontal="center"/>
    </xf>
    <xf numFmtId="0" fontId="34" fillId="0" borderId="68" xfId="0" applyFont="1" applyBorder="1" applyAlignment="1">
      <alignment horizontal="center"/>
    </xf>
    <xf numFmtId="0" fontId="36" fillId="0" borderId="68" xfId="0" applyFont="1" applyBorder="1" applyAlignment="1">
      <alignment horizontal="center"/>
    </xf>
    <xf numFmtId="0" fontId="34" fillId="16" borderId="68" xfId="0" applyFont="1" applyFill="1" applyBorder="1" applyAlignment="1">
      <alignment horizontal="center"/>
    </xf>
    <xf numFmtId="0" fontId="35" fillId="0" borderId="68" xfId="0" applyFont="1" applyBorder="1" applyAlignment="1">
      <alignment horizontal="center"/>
    </xf>
    <xf numFmtId="0" fontId="35" fillId="14" borderId="68" xfId="0" applyFont="1" applyFill="1" applyBorder="1" applyAlignment="1">
      <alignment horizontal="center"/>
    </xf>
    <xf numFmtId="0" fontId="34" fillId="0" borderId="119" xfId="0" applyFont="1" applyBorder="1" applyAlignment="1">
      <alignment horizontal="center"/>
    </xf>
    <xf numFmtId="0" fontId="36" fillId="0" borderId="119" xfId="0" applyFont="1" applyBorder="1" applyAlignment="1">
      <alignment horizontal="center"/>
    </xf>
    <xf numFmtId="0" fontId="35" fillId="0" borderId="119" xfId="0" applyFont="1" applyBorder="1" applyAlignment="1">
      <alignment horizontal="center"/>
    </xf>
    <xf numFmtId="0" fontId="35" fillId="14" borderId="119" xfId="0" applyFont="1" applyFill="1" applyBorder="1" applyAlignment="1">
      <alignment horizontal="center"/>
    </xf>
    <xf numFmtId="0" fontId="34" fillId="16" borderId="119" xfId="0" applyFont="1" applyFill="1" applyBorder="1" applyAlignment="1">
      <alignment horizontal="center"/>
    </xf>
    <xf numFmtId="0" fontId="29" fillId="0" borderId="36" xfId="0" applyFont="1" applyBorder="1" applyAlignment="1">
      <alignment horizontal="center"/>
    </xf>
    <xf numFmtId="0" fontId="29" fillId="14" borderId="119" xfId="0" applyFont="1" applyFill="1" applyBorder="1" applyAlignment="1">
      <alignment horizontal="center"/>
    </xf>
    <xf numFmtId="0" fontId="29" fillId="17" borderId="122" xfId="0" applyFont="1" applyFill="1" applyBorder="1" applyAlignment="1">
      <alignment horizontal="center"/>
    </xf>
    <xf numFmtId="0" fontId="29" fillId="14" borderId="122" xfId="0" applyFont="1" applyFill="1" applyBorder="1" applyAlignment="1">
      <alignment horizontal="center"/>
    </xf>
    <xf numFmtId="0" fontId="29" fillId="17" borderId="14" xfId="0" applyFont="1" applyFill="1" applyBorder="1" applyAlignment="1">
      <alignment horizontal="center"/>
    </xf>
    <xf numFmtId="0" fontId="29" fillId="0" borderId="42" xfId="0" applyFont="1" applyBorder="1" applyAlignment="1">
      <alignment horizontal="center"/>
    </xf>
    <xf numFmtId="0" fontId="29" fillId="17" borderId="119" xfId="0" applyFont="1" applyFill="1" applyBorder="1" applyAlignment="1">
      <alignment horizontal="center"/>
    </xf>
    <xf numFmtId="0" fontId="29" fillId="17" borderId="0" xfId="0" applyFont="1" applyFill="1" applyAlignment="1">
      <alignment horizontal="center"/>
    </xf>
    <xf numFmtId="0" fontId="32" fillId="15" borderId="0" xfId="0" applyFont="1" applyFill="1" applyAlignment="1">
      <alignment horizontal="center"/>
    </xf>
    <xf numFmtId="0" fontId="29" fillId="16" borderId="0" xfId="0" applyFont="1" applyFill="1" applyAlignment="1">
      <alignment horizontal="center"/>
    </xf>
    <xf numFmtId="0" fontId="29" fillId="13" borderId="0" xfId="0" applyFont="1" applyFill="1" applyAlignment="1">
      <alignment horizontal="center"/>
    </xf>
    <xf numFmtId="0" fontId="39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29" fillId="0" borderId="124" xfId="0" applyFont="1" applyBorder="1"/>
    <xf numFmtId="0" fontId="29" fillId="0" borderId="125" xfId="0" applyFont="1" applyBorder="1"/>
    <xf numFmtId="0" fontId="29" fillId="0" borderId="126" xfId="0" applyFont="1" applyBorder="1"/>
    <xf numFmtId="0" fontId="29" fillId="0" borderId="56" xfId="0" applyFont="1" applyBorder="1"/>
    <xf numFmtId="0" fontId="29" fillId="0" borderId="127" xfId="0" applyFont="1" applyBorder="1"/>
    <xf numFmtId="14" fontId="12" fillId="0" borderId="58" xfId="0" applyNumberFormat="1" applyFont="1" applyBorder="1" applyAlignment="1">
      <alignment horizontal="center"/>
    </xf>
    <xf numFmtId="0" fontId="11" fillId="0" borderId="72" xfId="0" applyFont="1" applyBorder="1"/>
    <xf numFmtId="0" fontId="6" fillId="8" borderId="63" xfId="0" applyFont="1" applyFill="1" applyBorder="1" applyAlignment="1">
      <alignment horizontal="center"/>
    </xf>
    <xf numFmtId="0" fontId="12" fillId="0" borderId="104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40" fillId="0" borderId="0" xfId="0" applyFont="1"/>
    <xf numFmtId="0" fontId="40" fillId="0" borderId="0" xfId="0" applyFont="1" applyAlignment="1">
      <alignment wrapText="1"/>
    </xf>
    <xf numFmtId="0" fontId="41" fillId="0" borderId="0" xfId="0" applyFont="1"/>
    <xf numFmtId="0" fontId="12" fillId="0" borderId="58" xfId="0" applyFont="1" applyBorder="1" applyAlignment="1">
      <alignment horizontal="left"/>
    </xf>
    <xf numFmtId="0" fontId="12" fillId="0" borderId="104" xfId="0" applyFont="1" applyBorder="1"/>
    <xf numFmtId="0" fontId="44" fillId="0" borderId="58" xfId="0" applyFont="1" applyBorder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24" fillId="0" borderId="10" xfId="0" applyFont="1" applyBorder="1" applyAlignment="1">
      <alignment horizontal="center"/>
    </xf>
    <xf numFmtId="16" fontId="0" fillId="0" borderId="8" xfId="0" applyNumberFormat="1" applyBorder="1" applyProtection="1">
      <protection locked="0"/>
    </xf>
    <xf numFmtId="0" fontId="47" fillId="0" borderId="58" xfId="0" applyFont="1" applyBorder="1"/>
    <xf numFmtId="14" fontId="1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8" borderId="0" xfId="0" applyFont="1" applyFill="1"/>
    <xf numFmtId="0" fontId="0" fillId="8" borderId="0" xfId="0" applyFill="1"/>
    <xf numFmtId="0" fontId="2" fillId="0" borderId="1" xfId="0" applyFont="1" applyBorder="1"/>
    <xf numFmtId="0" fontId="2" fillId="0" borderId="19" xfId="0" applyFont="1" applyBorder="1" applyAlignment="1">
      <alignment horizontal="center"/>
    </xf>
    <xf numFmtId="0" fontId="2" fillId="0" borderId="10" xfId="0" applyFont="1" applyBorder="1" applyAlignment="1">
      <alignment horizontal="center" textRotation="90"/>
    </xf>
    <xf numFmtId="0" fontId="2" fillId="0" borderId="23" xfId="0" applyFont="1" applyBorder="1" applyAlignment="1">
      <alignment horizontal="center" textRotation="90"/>
    </xf>
    <xf numFmtId="0" fontId="2" fillId="4" borderId="23" xfId="0" applyFont="1" applyFill="1" applyBorder="1" applyAlignment="1">
      <alignment horizontal="center" textRotation="255"/>
    </xf>
    <xf numFmtId="0" fontId="0" fillId="0" borderId="24" xfId="0" applyBorder="1"/>
    <xf numFmtId="0" fontId="4" fillId="0" borderId="41" xfId="0" applyFont="1" applyBorder="1"/>
    <xf numFmtId="0" fontId="2" fillId="2" borderId="23" xfId="0" applyFont="1" applyFill="1" applyBorder="1" applyAlignment="1">
      <alignment horizontal="center"/>
    </xf>
    <xf numFmtId="0" fontId="4" fillId="0" borderId="26" xfId="0" applyFont="1" applyBorder="1"/>
    <xf numFmtId="0" fontId="2" fillId="0" borderId="15" xfId="0" applyFont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0" fillId="0" borderId="27" xfId="0" applyBorder="1"/>
    <xf numFmtId="0" fontId="4" fillId="0" borderId="7" xfId="0" applyFont="1" applyBorder="1"/>
    <xf numFmtId="0" fontId="2" fillId="8" borderId="8" xfId="0" applyFont="1" applyFill="1" applyBorder="1" applyAlignment="1">
      <alignment horizontal="center"/>
    </xf>
    <xf numFmtId="0" fontId="48" fillId="2" borderId="8" xfId="0" applyFont="1" applyFill="1" applyBorder="1" applyAlignment="1">
      <alignment horizontal="center"/>
    </xf>
    <xf numFmtId="0" fontId="0" fillId="0" borderId="9" xfId="0" applyBorder="1"/>
    <xf numFmtId="0" fontId="5" fillId="0" borderId="7" xfId="0" applyFont="1" applyBorder="1"/>
    <xf numFmtId="0" fontId="2" fillId="3" borderId="8" xfId="0" applyFont="1" applyFill="1" applyBorder="1" applyAlignment="1">
      <alignment horizontal="center"/>
    </xf>
    <xf numFmtId="0" fontId="5" fillId="0" borderId="33" xfId="0" applyFont="1" applyBorder="1"/>
    <xf numFmtId="0" fontId="2" fillId="4" borderId="34" xfId="0" applyFont="1" applyFill="1" applyBorder="1" applyAlignment="1">
      <alignment horizontal="center"/>
    </xf>
    <xf numFmtId="0" fontId="0" fillId="0" borderId="35" xfId="0" applyBorder="1"/>
    <xf numFmtId="0" fontId="4" fillId="0" borderId="13" xfId="0" applyFont="1" applyBorder="1"/>
    <xf numFmtId="0" fontId="2" fillId="0" borderId="43" xfId="0" applyFont="1" applyBorder="1" applyAlignment="1">
      <alignment horizontal="center"/>
    </xf>
    <xf numFmtId="0" fontId="2" fillId="5" borderId="43" xfId="0" applyFont="1" applyFill="1" applyBorder="1" applyAlignment="1">
      <alignment horizontal="center"/>
    </xf>
    <xf numFmtId="0" fontId="2" fillId="8" borderId="43" xfId="0" applyFont="1" applyFill="1" applyBorder="1" applyAlignment="1">
      <alignment horizontal="center"/>
    </xf>
    <xf numFmtId="0" fontId="0" fillId="0" borderId="128" xfId="0" applyBorder="1"/>
    <xf numFmtId="0" fontId="5" fillId="0" borderId="8" xfId="0" applyFont="1" applyBorder="1"/>
    <xf numFmtId="0" fontId="2" fillId="5" borderId="8" xfId="0" applyFont="1" applyFill="1" applyBorder="1" applyAlignment="1">
      <alignment horizontal="center"/>
    </xf>
    <xf numFmtId="0" fontId="5" fillId="0" borderId="34" xfId="0" applyFont="1" applyBorder="1"/>
    <xf numFmtId="0" fontId="2" fillId="8" borderId="34" xfId="0" applyFont="1" applyFill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0" fillId="0" borderId="34" xfId="0" applyBorder="1"/>
    <xf numFmtId="0" fontId="4" fillId="0" borderId="129" xfId="0" applyFont="1" applyBorder="1"/>
    <xf numFmtId="0" fontId="2" fillId="0" borderId="13" xfId="0" applyFont="1" applyBorder="1"/>
    <xf numFmtId="0" fontId="2" fillId="5" borderId="13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0" xfId="0" applyBorder="1"/>
    <xf numFmtId="0" fontId="4" fillId="0" borderId="33" xfId="0" applyFont="1" applyBorder="1"/>
    <xf numFmtId="0" fontId="2" fillId="0" borderId="34" xfId="0" applyFont="1" applyBorder="1"/>
    <xf numFmtId="0" fontId="2" fillId="3" borderId="3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0" fillId="0" borderId="27" xfId="0" applyBorder="1" applyAlignment="1">
      <alignment wrapText="1"/>
    </xf>
    <xf numFmtId="0" fontId="0" fillId="0" borderId="131" xfId="0" applyBorder="1"/>
    <xf numFmtId="0" fontId="2" fillId="2" borderId="13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4" fillId="0" borderId="8" xfId="0" applyFont="1" applyBorder="1"/>
    <xf numFmtId="0" fontId="2" fillId="0" borderId="8" xfId="0" applyFont="1" applyBorder="1"/>
    <xf numFmtId="0" fontId="0" fillId="0" borderId="35" xfId="0" applyBorder="1" applyAlignment="1">
      <alignment wrapText="1"/>
    </xf>
    <xf numFmtId="0" fontId="4" fillId="0" borderId="43" xfId="0" applyFont="1" applyBorder="1"/>
    <xf numFmtId="0" fontId="2" fillId="0" borderId="43" xfId="0" applyFont="1" applyBorder="1"/>
    <xf numFmtId="0" fontId="0" fillId="0" borderId="43" xfId="0" applyBorder="1"/>
    <xf numFmtId="0" fontId="2" fillId="0" borderId="23" xfId="0" applyFont="1" applyBorder="1"/>
    <xf numFmtId="0" fontId="2" fillId="8" borderId="23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 vertical="center"/>
    </xf>
    <xf numFmtId="0" fontId="0" fillId="0" borderId="23" xfId="0" applyBorder="1"/>
    <xf numFmtId="0" fontId="2" fillId="2" borderId="2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0" xfId="0" applyFont="1"/>
    <xf numFmtId="0" fontId="2" fillId="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40" xfId="0" applyFont="1" applyBorder="1"/>
    <xf numFmtId="0" fontId="2" fillId="5" borderId="132" xfId="0" applyFont="1" applyFill="1" applyBorder="1" applyAlignment="1">
      <alignment horizontal="center"/>
    </xf>
    <xf numFmtId="0" fontId="48" fillId="2" borderId="132" xfId="0" applyFont="1" applyFill="1" applyBorder="1" applyAlignment="1">
      <alignment horizontal="center"/>
    </xf>
    <xf numFmtId="0" fontId="6" fillId="0" borderId="26" xfId="0" applyFont="1" applyBorder="1"/>
    <xf numFmtId="0" fontId="2" fillId="3" borderId="27" xfId="0" applyFont="1" applyFill="1" applyBorder="1" applyAlignment="1">
      <alignment horizontal="center"/>
    </xf>
    <xf numFmtId="0" fontId="6" fillId="0" borderId="33" xfId="0" applyFont="1" applyBorder="1"/>
    <xf numFmtId="0" fontId="2" fillId="3" borderId="35" xfId="0" applyFont="1" applyFill="1" applyBorder="1" applyAlignment="1">
      <alignment horizontal="center"/>
    </xf>
    <xf numFmtId="0" fontId="2" fillId="4" borderId="132" xfId="0" applyFont="1" applyFill="1" applyBorder="1" applyAlignment="1">
      <alignment horizontal="center"/>
    </xf>
    <xf numFmtId="0" fontId="49" fillId="0" borderId="0" xfId="2"/>
    <xf numFmtId="0" fontId="12" fillId="0" borderId="58" xfId="0" applyFont="1" applyBorder="1"/>
    <xf numFmtId="0" fontId="1" fillId="0" borderId="58" xfId="0" applyFont="1" applyBorder="1"/>
    <xf numFmtId="0" fontId="1" fillId="0" borderId="58" xfId="0" applyFont="1" applyBorder="1" applyAlignment="1">
      <alignment horizontal="center"/>
    </xf>
    <xf numFmtId="16" fontId="11" fillId="0" borderId="58" xfId="0" applyNumberFormat="1" applyFont="1" applyBorder="1" applyAlignment="1">
      <alignment horizontal="center"/>
    </xf>
    <xf numFmtId="16" fontId="11" fillId="0" borderId="104" xfId="0" applyNumberFormat="1" applyFont="1" applyBorder="1" applyAlignment="1">
      <alignment horizontal="center"/>
    </xf>
    <xf numFmtId="0" fontId="25" fillId="6" borderId="79" xfId="0" applyFont="1" applyFill="1" applyBorder="1" applyAlignment="1">
      <alignment horizontal="center"/>
    </xf>
    <xf numFmtId="0" fontId="25" fillId="6" borderId="109" xfId="0" applyFont="1" applyFill="1" applyBorder="1" applyAlignment="1">
      <alignment horizontal="center"/>
    </xf>
    <xf numFmtId="0" fontId="25" fillId="6" borderId="57" xfId="0" applyFont="1" applyFill="1" applyBorder="1" applyAlignment="1">
      <alignment horizontal="center"/>
    </xf>
    <xf numFmtId="0" fontId="45" fillId="6" borderId="79" xfId="0" applyFont="1" applyFill="1" applyBorder="1" applyAlignment="1">
      <alignment horizontal="center"/>
    </xf>
    <xf numFmtId="0" fontId="45" fillId="6" borderId="109" xfId="0" applyFont="1" applyFill="1" applyBorder="1" applyAlignment="1">
      <alignment horizontal="center"/>
    </xf>
    <xf numFmtId="0" fontId="45" fillId="6" borderId="57" xfId="0" applyFont="1" applyFill="1" applyBorder="1" applyAlignment="1">
      <alignment horizontal="center"/>
    </xf>
    <xf numFmtId="0" fontId="12" fillId="11" borderId="31" xfId="0" applyFont="1" applyFill="1" applyBorder="1" applyAlignment="1">
      <alignment horizontal="center"/>
    </xf>
    <xf numFmtId="0" fontId="12" fillId="11" borderId="42" xfId="0" applyFont="1" applyFill="1" applyBorder="1" applyAlignment="1">
      <alignment horizontal="center"/>
    </xf>
    <xf numFmtId="0" fontId="12" fillId="11" borderId="14" xfId="0" applyFont="1" applyFill="1" applyBorder="1" applyAlignment="1">
      <alignment horizontal="center"/>
    </xf>
  </cellXfs>
  <cellStyles count="3">
    <cellStyle name="Hyperlink" xfId="1" xr:uid="{00000000-000B-0000-0000-000008000000}"/>
    <cellStyle name="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url?sa=t&amp;rct=j&amp;q=&amp;esrc=s&amp;source=web&amp;cd=&amp;ved=2ahUKEwjK6KOD1p_3AhUFgP0HHa4zDW4QFnoECAUQAQ&amp;url=https%3A%2F%2Fbygningsreglementet.dk%2F-%2Fmedia%2FBr%2FKap_5_Brand%2FVejledninger%2FGenerel-vejledning%2FKapitel-7%2FKapitel-7-Drift-kontrol-og-vedligehold-20200103.pdf&amp;usg=AOvVaw0ZRm4tG4Cy9SOH18uiBJJ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url?sa=t&amp;rct=j&amp;q=&amp;esrc=s&amp;source=web&amp;cd=&amp;ved=2ahUKEwjK6KOD1p_3AhUFgP0HHa4zDW4QFnoECAUQAQ&amp;url=https%3A%2F%2Fbygningsreglementet.dk%2F-%2Fmedia%2FBr%2FKap_5_Brand%2FVejledninger%2FGenerel-vejledning%2FKapitel-7%2FKapitel-7-Drift-kontrol-og-vedligehold-20200103.pdf&amp;usg=AOvVaw0ZRm4tG4Cy9SOH18uiBJJ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3"/>
  <sheetViews>
    <sheetView zoomScale="80" zoomScaleNormal="80" workbookViewId="0">
      <pane xSplit="3" ySplit="4" topLeftCell="D49" activePane="bottomRight" state="frozen"/>
      <selection pane="bottomRight" activeCell="Q64" sqref="Q64"/>
      <selection pane="bottomLeft"/>
      <selection pane="topRight"/>
    </sheetView>
  </sheetViews>
  <sheetFormatPr defaultRowHeight="15" customHeight="1"/>
  <cols>
    <col min="2" max="2" width="10.5703125" customWidth="1"/>
    <col min="3" max="3" width="11.140625" bestFit="1" customWidth="1"/>
    <col min="4" max="5" width="9.7109375" customWidth="1"/>
    <col min="6" max="6" width="9.5703125" customWidth="1"/>
    <col min="7" max="7" width="9.5703125" bestFit="1" customWidth="1"/>
    <col min="8" max="8" width="12.42578125" customWidth="1"/>
    <col min="9" max="9" width="14.7109375" customWidth="1"/>
    <col min="10" max="10" width="12.7109375" bestFit="1" customWidth="1"/>
    <col min="11" max="11" width="15.28515625" customWidth="1"/>
    <col min="12" max="12" width="12.42578125" bestFit="1" customWidth="1"/>
    <col min="13" max="13" width="15.5703125" customWidth="1"/>
    <col min="14" max="14" width="12.42578125" customWidth="1"/>
    <col min="15" max="15" width="13.28515625" customWidth="1"/>
    <col min="16" max="16" width="12.42578125" bestFit="1" customWidth="1"/>
    <col min="17" max="17" width="12.7109375" customWidth="1"/>
    <col min="18" max="18" width="12.7109375" bestFit="1" customWidth="1"/>
    <col min="19" max="19" width="13.42578125" bestFit="1" customWidth="1"/>
    <col min="21" max="23" width="8.7109375" style="470"/>
    <col min="24" max="25" width="9.140625" style="470"/>
  </cols>
  <sheetData>
    <row r="1" spans="1:25" ht="27" customHeight="1">
      <c r="A1" s="98" t="s">
        <v>0</v>
      </c>
    </row>
    <row r="4" spans="1:25" s="109" customFormat="1" ht="60.75">
      <c r="D4" s="110" t="s">
        <v>1</v>
      </c>
      <c r="E4" s="110" t="s">
        <v>2</v>
      </c>
      <c r="F4" s="110" t="s">
        <v>3</v>
      </c>
      <c r="G4" s="110" t="s">
        <v>2</v>
      </c>
      <c r="H4" s="110" t="s">
        <v>4</v>
      </c>
      <c r="I4" s="110" t="s">
        <v>5</v>
      </c>
      <c r="J4" s="110" t="s">
        <v>6</v>
      </c>
      <c r="K4" s="110" t="s">
        <v>5</v>
      </c>
      <c r="L4" s="110" t="s">
        <v>7</v>
      </c>
      <c r="M4" s="110" t="s">
        <v>5</v>
      </c>
      <c r="N4" s="110" t="s">
        <v>8</v>
      </c>
      <c r="O4" s="110" t="s">
        <v>9</v>
      </c>
      <c r="P4" s="110" t="s">
        <v>10</v>
      </c>
      <c r="Q4" s="110" t="s">
        <v>9</v>
      </c>
      <c r="R4" s="110" t="s">
        <v>11</v>
      </c>
      <c r="S4" s="110" t="s">
        <v>9</v>
      </c>
      <c r="U4" s="471" t="s">
        <v>12</v>
      </c>
      <c r="V4" s="471" t="s">
        <v>13</v>
      </c>
      <c r="W4" s="471" t="s">
        <v>14</v>
      </c>
      <c r="X4" s="471"/>
      <c r="Y4" s="471"/>
    </row>
    <row r="5" spans="1:25">
      <c r="B5" s="111">
        <v>2022</v>
      </c>
      <c r="C5" s="111" t="s">
        <v>15</v>
      </c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</row>
    <row r="6" spans="1:25">
      <c r="B6" s="97" t="s">
        <v>16</v>
      </c>
      <c r="C6" s="97"/>
      <c r="D6" s="99"/>
      <c r="E6" s="97">
        <f>D6-E5</f>
        <v>0</v>
      </c>
      <c r="F6" s="99"/>
      <c r="G6" s="97"/>
      <c r="H6" s="99"/>
      <c r="I6" s="97">
        <f t="shared" ref="I6:I9" si="0">H7-H6</f>
        <v>0</v>
      </c>
      <c r="J6" s="99"/>
      <c r="K6" s="97"/>
      <c r="L6" s="99"/>
      <c r="M6" s="97"/>
      <c r="N6" s="99"/>
      <c r="O6" s="97"/>
      <c r="P6" s="99"/>
      <c r="Q6" s="97"/>
      <c r="R6" s="99"/>
      <c r="S6" s="97"/>
      <c r="U6" s="470">
        <f>E6+G6</f>
        <v>0</v>
      </c>
      <c r="V6" s="470">
        <f>S6+Q6+O6</f>
        <v>0</v>
      </c>
      <c r="W6" s="470">
        <f>+M6+K6</f>
        <v>0</v>
      </c>
    </row>
    <row r="7" spans="1:25">
      <c r="B7" s="97" t="s">
        <v>17</v>
      </c>
      <c r="C7" s="97"/>
      <c r="D7" s="99"/>
      <c r="E7" s="97">
        <f>D7-E6</f>
        <v>0</v>
      </c>
      <c r="F7" s="99"/>
      <c r="G7" s="97">
        <f>F7-F6</f>
        <v>0</v>
      </c>
      <c r="H7" s="99"/>
      <c r="I7" s="97">
        <f t="shared" si="0"/>
        <v>0</v>
      </c>
      <c r="J7" s="99"/>
      <c r="K7" s="97">
        <f>J7-J6</f>
        <v>0</v>
      </c>
      <c r="L7" s="99"/>
      <c r="M7" s="97">
        <f>L7-L6</f>
        <v>0</v>
      </c>
      <c r="N7" s="99"/>
      <c r="O7" s="97">
        <f>N6-N7</f>
        <v>0</v>
      </c>
      <c r="P7" s="99"/>
      <c r="Q7" s="97">
        <f>P6-P7</f>
        <v>0</v>
      </c>
      <c r="R7" s="99"/>
      <c r="S7" s="97">
        <f>R6-R7</f>
        <v>0</v>
      </c>
      <c r="U7" s="470">
        <f>E7+G7</f>
        <v>0</v>
      </c>
      <c r="V7" s="470">
        <f t="shared" ref="V7:V46" si="1">S7+Q7+O7</f>
        <v>0</v>
      </c>
      <c r="W7" s="470">
        <f t="shared" ref="W7:W46" si="2">+M7+K7</f>
        <v>0</v>
      </c>
    </row>
    <row r="8" spans="1:25">
      <c r="B8" s="97" t="s">
        <v>18</v>
      </c>
      <c r="C8" s="97"/>
      <c r="D8" s="99"/>
      <c r="E8" s="97">
        <f t="shared" ref="E8:E16" si="3">D9-D8</f>
        <v>0</v>
      </c>
      <c r="F8" s="99"/>
      <c r="G8" s="97">
        <f>F8-F7</f>
        <v>0</v>
      </c>
      <c r="H8" s="99"/>
      <c r="I8" s="97">
        <f t="shared" si="0"/>
        <v>0</v>
      </c>
      <c r="J8" s="99"/>
      <c r="K8" s="97">
        <f t="shared" ref="K8:K17" si="4">J8-J7</f>
        <v>0</v>
      </c>
      <c r="L8" s="99"/>
      <c r="M8" s="97">
        <f t="shared" ref="M8:M17" si="5">L8-L7</f>
        <v>0</v>
      </c>
      <c r="N8" s="99"/>
      <c r="O8" s="97">
        <f t="shared" ref="O8" si="6">N7-N8</f>
        <v>0</v>
      </c>
      <c r="P8" s="99"/>
      <c r="Q8" s="97">
        <f t="shared" ref="Q8" si="7">P7-P8</f>
        <v>0</v>
      </c>
      <c r="R8" s="99"/>
      <c r="S8" s="97">
        <f t="shared" ref="S8" si="8">R7-R8</f>
        <v>0</v>
      </c>
      <c r="U8" s="470">
        <f>E8+G8</f>
        <v>0</v>
      </c>
      <c r="V8" s="470">
        <f t="shared" si="1"/>
        <v>0</v>
      </c>
      <c r="W8" s="470">
        <f t="shared" si="2"/>
        <v>0</v>
      </c>
    </row>
    <row r="9" spans="1:25">
      <c r="B9" s="97" t="s">
        <v>19</v>
      </c>
      <c r="C9" s="97"/>
      <c r="D9" s="99"/>
      <c r="E9" s="97">
        <f t="shared" si="3"/>
        <v>709801</v>
      </c>
      <c r="F9" s="99"/>
      <c r="G9" s="97">
        <f>F10-F9</f>
        <v>143090</v>
      </c>
      <c r="H9" s="99"/>
      <c r="I9" s="97">
        <f t="shared" si="0"/>
        <v>12159</v>
      </c>
      <c r="J9" s="99"/>
      <c r="K9" s="97">
        <f t="shared" si="4"/>
        <v>0</v>
      </c>
      <c r="L9" s="99">
        <v>226</v>
      </c>
      <c r="M9" s="97">
        <f t="shared" si="5"/>
        <v>226</v>
      </c>
      <c r="N9" s="99"/>
      <c r="O9" s="97">
        <f>N10-N9</f>
        <v>1573.31</v>
      </c>
      <c r="P9" s="99"/>
      <c r="Q9" s="97">
        <f>P10-P9</f>
        <v>390.42</v>
      </c>
      <c r="R9" s="99"/>
      <c r="S9" s="97">
        <f>R10-R9</f>
        <v>1534.86</v>
      </c>
      <c r="U9" s="470">
        <f>E9+G9</f>
        <v>852891</v>
      </c>
      <c r="V9" s="470">
        <f t="shared" si="1"/>
        <v>3498.59</v>
      </c>
      <c r="W9" s="470">
        <f t="shared" si="2"/>
        <v>226</v>
      </c>
    </row>
    <row r="10" spans="1:25">
      <c r="B10" s="97" t="s">
        <v>20</v>
      </c>
      <c r="C10" s="97"/>
      <c r="D10" s="99">
        <v>709801</v>
      </c>
      <c r="E10" s="97">
        <f t="shared" si="3"/>
        <v>20836</v>
      </c>
      <c r="F10" s="99">
        <v>143090</v>
      </c>
      <c r="G10" s="97">
        <f>F11-F10</f>
        <v>4618</v>
      </c>
      <c r="H10" s="99">
        <v>12159</v>
      </c>
      <c r="I10" s="97">
        <f>H11-H10</f>
        <v>232</v>
      </c>
      <c r="J10" s="99">
        <v>4702</v>
      </c>
      <c r="K10" s="97">
        <f t="shared" si="4"/>
        <v>4702</v>
      </c>
      <c r="L10" s="99">
        <v>226</v>
      </c>
      <c r="M10" s="97">
        <f t="shared" si="5"/>
        <v>0</v>
      </c>
      <c r="N10" s="99">
        <v>1573.31</v>
      </c>
      <c r="O10" s="97">
        <f t="shared" ref="O10:O16" si="9">N11-N10</f>
        <v>2.6300000000001091</v>
      </c>
      <c r="P10" s="99">
        <v>390.42</v>
      </c>
      <c r="Q10" s="97">
        <f t="shared" ref="Q10:Q16" si="10">P11-P10</f>
        <v>2.3499999999999659</v>
      </c>
      <c r="R10" s="99">
        <v>1534.86</v>
      </c>
      <c r="S10" s="97">
        <f t="shared" ref="S10:S15" si="11">R11-R10</f>
        <v>1.7800000000002001</v>
      </c>
      <c r="U10" s="470">
        <f>E10+G10</f>
        <v>25454</v>
      </c>
      <c r="V10" s="470">
        <f t="shared" si="1"/>
        <v>6.7600000000002751</v>
      </c>
      <c r="W10" s="470">
        <f t="shared" si="2"/>
        <v>4702</v>
      </c>
    </row>
    <row r="11" spans="1:25">
      <c r="B11" s="97" t="s">
        <v>21</v>
      </c>
      <c r="C11" s="97"/>
      <c r="D11" s="99">
        <v>730637</v>
      </c>
      <c r="E11" s="97">
        <f t="shared" si="3"/>
        <v>3663</v>
      </c>
      <c r="F11" s="99">
        <v>147708</v>
      </c>
      <c r="G11" s="97">
        <f t="shared" ref="G11:G16" si="12">F12-F11</f>
        <v>93</v>
      </c>
      <c r="H11" s="99">
        <v>12391</v>
      </c>
      <c r="I11" s="97">
        <f t="shared" ref="I11:I16" si="13">H12-H11</f>
        <v>19</v>
      </c>
      <c r="J11" s="99">
        <v>4782</v>
      </c>
      <c r="K11" s="97">
        <f t="shared" si="4"/>
        <v>80</v>
      </c>
      <c r="L11" s="99">
        <v>226</v>
      </c>
      <c r="M11" s="97">
        <f t="shared" si="5"/>
        <v>0</v>
      </c>
      <c r="N11" s="99">
        <v>1575.94</v>
      </c>
      <c r="O11" s="97">
        <f t="shared" si="9"/>
        <v>3.5999999999999091</v>
      </c>
      <c r="P11" s="99">
        <v>392.77</v>
      </c>
      <c r="Q11" s="97">
        <f t="shared" si="10"/>
        <v>1.2700000000000387</v>
      </c>
      <c r="R11" s="99">
        <v>1536.64</v>
      </c>
      <c r="S11" s="97">
        <f t="shared" si="11"/>
        <v>1.8999999999998636</v>
      </c>
      <c r="U11" s="470">
        <f t="shared" ref="U11:U46" si="14">E11+G11</f>
        <v>3756</v>
      </c>
      <c r="V11" s="470">
        <f t="shared" si="1"/>
        <v>6.7699999999998113</v>
      </c>
      <c r="W11" s="470">
        <f t="shared" si="2"/>
        <v>80</v>
      </c>
    </row>
    <row r="12" spans="1:25">
      <c r="B12" s="97" t="s">
        <v>22</v>
      </c>
      <c r="C12" s="97"/>
      <c r="D12" s="99">
        <v>734300</v>
      </c>
      <c r="E12" s="97">
        <f t="shared" si="3"/>
        <v>3261</v>
      </c>
      <c r="F12" s="99">
        <v>147801</v>
      </c>
      <c r="G12" s="97">
        <f t="shared" si="12"/>
        <v>44</v>
      </c>
      <c r="H12" s="99">
        <v>12410</v>
      </c>
      <c r="I12" s="97">
        <f t="shared" si="13"/>
        <v>30</v>
      </c>
      <c r="J12" s="99">
        <v>4790</v>
      </c>
      <c r="K12" s="97">
        <f t="shared" si="4"/>
        <v>8</v>
      </c>
      <c r="L12" s="99">
        <v>226</v>
      </c>
      <c r="M12" s="97">
        <f t="shared" si="5"/>
        <v>0</v>
      </c>
      <c r="N12" s="99">
        <v>1579.54</v>
      </c>
      <c r="O12" s="97">
        <f t="shared" si="9"/>
        <v>2.0599999999999454</v>
      </c>
      <c r="P12" s="99">
        <v>394.04</v>
      </c>
      <c r="Q12" s="97">
        <f t="shared" si="10"/>
        <v>2.9799999999999613</v>
      </c>
      <c r="R12" s="99">
        <v>1538.54</v>
      </c>
      <c r="S12" s="97">
        <f t="shared" si="11"/>
        <v>1.7300000000000182</v>
      </c>
      <c r="U12" s="470">
        <f t="shared" si="14"/>
        <v>3305</v>
      </c>
      <c r="V12" s="470">
        <f t="shared" si="1"/>
        <v>6.769999999999925</v>
      </c>
      <c r="W12" s="470">
        <f t="shared" si="2"/>
        <v>8</v>
      </c>
    </row>
    <row r="13" spans="1:25">
      <c r="B13" s="97" t="s">
        <v>23</v>
      </c>
      <c r="C13" s="97"/>
      <c r="D13" s="99">
        <v>737561</v>
      </c>
      <c r="E13" s="97">
        <f t="shared" si="3"/>
        <v>2097</v>
      </c>
      <c r="F13" s="99">
        <v>147845</v>
      </c>
      <c r="G13" s="97">
        <f t="shared" si="12"/>
        <v>697</v>
      </c>
      <c r="H13" s="99">
        <v>12440</v>
      </c>
      <c r="I13" s="97">
        <f t="shared" si="13"/>
        <v>11</v>
      </c>
      <c r="J13" s="99">
        <v>4815</v>
      </c>
      <c r="K13" s="97">
        <f t="shared" si="4"/>
        <v>25</v>
      </c>
      <c r="L13" s="99">
        <v>226</v>
      </c>
      <c r="M13" s="97">
        <f t="shared" si="5"/>
        <v>0</v>
      </c>
      <c r="N13" s="99">
        <v>1581.6</v>
      </c>
      <c r="O13" s="97">
        <f t="shared" si="9"/>
        <v>2.1000000000001364</v>
      </c>
      <c r="P13" s="99">
        <v>397.02</v>
      </c>
      <c r="Q13" s="97">
        <f t="shared" si="10"/>
        <v>2.3000000000000114</v>
      </c>
      <c r="R13" s="99">
        <v>1540.27</v>
      </c>
      <c r="S13" s="97">
        <f t="shared" si="11"/>
        <v>1.7599999999999909</v>
      </c>
      <c r="U13" s="470">
        <f t="shared" si="14"/>
        <v>2794</v>
      </c>
      <c r="V13" s="470">
        <f t="shared" si="1"/>
        <v>6.1600000000001387</v>
      </c>
      <c r="W13" s="470">
        <f t="shared" si="2"/>
        <v>25</v>
      </c>
    </row>
    <row r="14" spans="1:25">
      <c r="B14" s="97" t="s">
        <v>24</v>
      </c>
      <c r="C14" s="97"/>
      <c r="D14" s="99">
        <v>739658</v>
      </c>
      <c r="E14" s="97">
        <f t="shared" si="3"/>
        <v>1153</v>
      </c>
      <c r="F14" s="99">
        <v>148542</v>
      </c>
      <c r="G14" s="97">
        <f t="shared" si="12"/>
        <v>1321</v>
      </c>
      <c r="H14" s="99">
        <v>12451</v>
      </c>
      <c r="I14" s="97">
        <f t="shared" si="13"/>
        <v>20</v>
      </c>
      <c r="J14" s="99">
        <v>4828</v>
      </c>
      <c r="K14" s="97">
        <f t="shared" si="4"/>
        <v>13</v>
      </c>
      <c r="L14" s="99">
        <v>226</v>
      </c>
      <c r="M14" s="97">
        <f t="shared" si="5"/>
        <v>0</v>
      </c>
      <c r="N14" s="99">
        <v>1583.7</v>
      </c>
      <c r="O14" s="97">
        <f t="shared" si="9"/>
        <v>2.2000000000000455</v>
      </c>
      <c r="P14" s="99">
        <v>399.32</v>
      </c>
      <c r="Q14" s="97">
        <f t="shared" si="10"/>
        <v>2.6800000000000068</v>
      </c>
      <c r="R14" s="99">
        <v>1542.03</v>
      </c>
      <c r="S14" s="97">
        <f t="shared" si="11"/>
        <v>1.9800000000000182</v>
      </c>
      <c r="U14" s="470">
        <f t="shared" si="14"/>
        <v>2474</v>
      </c>
      <c r="V14" s="470">
        <f t="shared" si="1"/>
        <v>6.8600000000000705</v>
      </c>
      <c r="W14" s="470">
        <f t="shared" si="2"/>
        <v>13</v>
      </c>
    </row>
    <row r="15" spans="1:25">
      <c r="B15" s="97" t="s">
        <v>25</v>
      </c>
      <c r="C15" s="97"/>
      <c r="D15" s="99">
        <v>740811</v>
      </c>
      <c r="E15" s="97">
        <f t="shared" si="3"/>
        <v>5080</v>
      </c>
      <c r="F15" s="99">
        <v>149863</v>
      </c>
      <c r="G15" s="97">
        <f t="shared" si="12"/>
        <v>1102</v>
      </c>
      <c r="H15" s="99">
        <v>12471</v>
      </c>
      <c r="I15" s="97">
        <f t="shared" si="13"/>
        <v>23</v>
      </c>
      <c r="J15" s="99">
        <v>4836</v>
      </c>
      <c r="K15" s="97">
        <f t="shared" si="4"/>
        <v>8</v>
      </c>
      <c r="L15" s="99">
        <v>226</v>
      </c>
      <c r="M15" s="97">
        <f t="shared" si="5"/>
        <v>0</v>
      </c>
      <c r="N15" s="99">
        <v>1585.9</v>
      </c>
      <c r="O15" s="97">
        <f t="shared" si="9"/>
        <v>4.0999999999999091</v>
      </c>
      <c r="P15" s="99">
        <v>402</v>
      </c>
      <c r="Q15" s="97">
        <f t="shared" si="10"/>
        <v>2</v>
      </c>
      <c r="R15" s="99">
        <v>1544.01</v>
      </c>
      <c r="S15" s="97">
        <f t="shared" si="11"/>
        <v>2.9900000000000091</v>
      </c>
      <c r="U15" s="470">
        <f t="shared" si="14"/>
        <v>6182</v>
      </c>
      <c r="V15" s="470">
        <f t="shared" si="1"/>
        <v>9.0899999999999181</v>
      </c>
      <c r="W15" s="470">
        <f t="shared" si="2"/>
        <v>8</v>
      </c>
    </row>
    <row r="16" spans="1:25">
      <c r="B16" s="97" t="s">
        <v>26</v>
      </c>
      <c r="C16" s="97"/>
      <c r="D16" s="99">
        <v>745891</v>
      </c>
      <c r="E16" s="97">
        <f t="shared" si="3"/>
        <v>9428</v>
      </c>
      <c r="F16" s="99">
        <v>150965</v>
      </c>
      <c r="G16" s="97">
        <f t="shared" si="12"/>
        <v>1685</v>
      </c>
      <c r="H16" s="99">
        <v>12494</v>
      </c>
      <c r="I16" s="97">
        <f t="shared" si="13"/>
        <v>56</v>
      </c>
      <c r="J16" s="99">
        <v>4847</v>
      </c>
      <c r="K16" s="97">
        <f t="shared" si="4"/>
        <v>11</v>
      </c>
      <c r="L16" s="99">
        <v>226</v>
      </c>
      <c r="M16" s="97">
        <f t="shared" si="5"/>
        <v>0</v>
      </c>
      <c r="N16" s="99">
        <v>1590</v>
      </c>
      <c r="O16" s="97">
        <f t="shared" si="9"/>
        <v>20</v>
      </c>
      <c r="P16" s="99">
        <v>404</v>
      </c>
      <c r="Q16" s="97">
        <f t="shared" si="10"/>
        <v>16</v>
      </c>
      <c r="R16" s="99">
        <v>1547</v>
      </c>
      <c r="S16" s="97">
        <f>R17-R16</f>
        <v>11</v>
      </c>
      <c r="U16" s="470">
        <f t="shared" si="14"/>
        <v>11113</v>
      </c>
      <c r="V16" s="470">
        <f t="shared" si="1"/>
        <v>47</v>
      </c>
      <c r="W16" s="470">
        <f t="shared" si="2"/>
        <v>11</v>
      </c>
    </row>
    <row r="17" spans="2:23">
      <c r="B17" s="97" t="s">
        <v>27</v>
      </c>
      <c r="C17" s="97"/>
      <c r="D17" s="99">
        <v>755319</v>
      </c>
      <c r="E17" s="97">
        <f>D20-D17</f>
        <v>7753</v>
      </c>
      <c r="F17" s="99">
        <v>152650</v>
      </c>
      <c r="G17" s="97">
        <f>F20-F17</f>
        <v>1696</v>
      </c>
      <c r="H17" s="99">
        <v>12550</v>
      </c>
      <c r="I17" s="97">
        <f>H20-H17</f>
        <v>30</v>
      </c>
      <c r="J17" s="99">
        <v>4875</v>
      </c>
      <c r="K17" s="97">
        <f t="shared" si="4"/>
        <v>28</v>
      </c>
      <c r="L17" s="99">
        <v>226</v>
      </c>
      <c r="M17" s="97">
        <f t="shared" si="5"/>
        <v>0</v>
      </c>
      <c r="N17" s="99">
        <v>1610</v>
      </c>
      <c r="O17" s="97">
        <f>N20-N17</f>
        <v>28</v>
      </c>
      <c r="P17" s="99">
        <v>420</v>
      </c>
      <c r="Q17" s="97">
        <f>P20-P17</f>
        <v>20</v>
      </c>
      <c r="R17" s="99">
        <v>1558</v>
      </c>
      <c r="S17" s="97">
        <f>R20-R17</f>
        <v>24</v>
      </c>
      <c r="U17" s="470">
        <f t="shared" si="14"/>
        <v>9449</v>
      </c>
      <c r="V17" s="470">
        <f t="shared" si="1"/>
        <v>72</v>
      </c>
      <c r="W17" s="470">
        <f t="shared" si="2"/>
        <v>28</v>
      </c>
    </row>
    <row r="18" spans="2:23">
      <c r="B18" s="112"/>
      <c r="C18" s="112"/>
      <c r="D18" s="112"/>
      <c r="E18" s="113"/>
      <c r="F18" s="112"/>
      <c r="G18" s="113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</row>
    <row r="19" spans="2:23">
      <c r="B19" s="113">
        <v>2023</v>
      </c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</row>
    <row r="20" spans="2:23">
      <c r="B20" s="97" t="s">
        <v>16</v>
      </c>
      <c r="C20" s="97"/>
      <c r="D20" s="99">
        <v>763072</v>
      </c>
      <c r="E20" s="97">
        <f>D21-D20</f>
        <v>13928</v>
      </c>
      <c r="F20" s="99">
        <v>154346</v>
      </c>
      <c r="G20" s="97">
        <f>F21-F20</f>
        <v>2304</v>
      </c>
      <c r="H20" s="99">
        <v>12580</v>
      </c>
      <c r="I20" s="97">
        <f>H21-H20</f>
        <v>50</v>
      </c>
      <c r="J20" s="99">
        <v>4893</v>
      </c>
      <c r="K20" s="97">
        <f>J20-J17</f>
        <v>18</v>
      </c>
      <c r="L20" s="99">
        <v>226</v>
      </c>
      <c r="M20" s="97">
        <f>L17-L20</f>
        <v>0</v>
      </c>
      <c r="N20" s="99">
        <v>1638</v>
      </c>
      <c r="O20" s="97">
        <f>N21-N20</f>
        <v>42</v>
      </c>
      <c r="P20" s="99">
        <v>440</v>
      </c>
      <c r="Q20" s="97">
        <f>P21-P20</f>
        <v>30</v>
      </c>
      <c r="R20" s="99">
        <v>1582</v>
      </c>
      <c r="S20" s="97">
        <f>R21-R20</f>
        <v>27</v>
      </c>
      <c r="U20" s="470">
        <f t="shared" si="14"/>
        <v>16232</v>
      </c>
      <c r="V20" s="470">
        <f t="shared" si="1"/>
        <v>99</v>
      </c>
      <c r="W20" s="470">
        <f t="shared" si="2"/>
        <v>18</v>
      </c>
    </row>
    <row r="21" spans="2:23">
      <c r="B21" s="97" t="s">
        <v>17</v>
      </c>
      <c r="C21" s="97" t="s">
        <v>28</v>
      </c>
      <c r="D21" s="99">
        <v>777000</v>
      </c>
      <c r="E21" s="97">
        <f t="shared" ref="E21:E30" si="15">D22-D21</f>
        <v>13755</v>
      </c>
      <c r="F21" s="99">
        <v>156650</v>
      </c>
      <c r="G21" s="97">
        <f t="shared" ref="G21:G30" si="16">F22-F21</f>
        <v>2288</v>
      </c>
      <c r="H21" s="99">
        <v>12630</v>
      </c>
      <c r="I21" s="97">
        <f t="shared" ref="I21:I30" si="17">H22-H21</f>
        <v>53</v>
      </c>
      <c r="J21" s="99">
        <v>4920</v>
      </c>
      <c r="K21" s="97">
        <f>J21-J20</f>
        <v>27</v>
      </c>
      <c r="L21" s="99">
        <v>226</v>
      </c>
      <c r="M21" s="97">
        <f>L21-L20</f>
        <v>0</v>
      </c>
      <c r="N21" s="99">
        <v>1680</v>
      </c>
      <c r="O21" s="97">
        <f t="shared" ref="O21:O30" si="18">N22-N21</f>
        <v>42</v>
      </c>
      <c r="P21" s="99">
        <v>470</v>
      </c>
      <c r="Q21" s="97">
        <f t="shared" ref="Q21:Q30" si="19">P22-P21</f>
        <v>26</v>
      </c>
      <c r="R21" s="99">
        <v>1609</v>
      </c>
      <c r="S21" s="97">
        <f t="shared" ref="S21:S30" si="20">R22-R21</f>
        <v>29</v>
      </c>
      <c r="U21" s="470">
        <f t="shared" si="14"/>
        <v>16043</v>
      </c>
      <c r="V21" s="470">
        <f t="shared" si="1"/>
        <v>97</v>
      </c>
      <c r="W21" s="470">
        <f t="shared" si="2"/>
        <v>27</v>
      </c>
    </row>
    <row r="22" spans="2:23">
      <c r="B22" s="97" t="s">
        <v>18</v>
      </c>
      <c r="C22" s="97"/>
      <c r="D22" s="99">
        <v>790755</v>
      </c>
      <c r="E22" s="97">
        <f t="shared" si="15"/>
        <v>13510</v>
      </c>
      <c r="F22" s="99">
        <v>158938</v>
      </c>
      <c r="G22" s="97">
        <f t="shared" si="16"/>
        <v>2593</v>
      </c>
      <c r="H22" s="99">
        <v>12683</v>
      </c>
      <c r="I22" s="97">
        <f t="shared" si="17"/>
        <v>75</v>
      </c>
      <c r="J22" s="99">
        <v>4947</v>
      </c>
      <c r="K22" s="97">
        <f t="shared" ref="K22:K31" si="21">J22-J21</f>
        <v>27</v>
      </c>
      <c r="L22" s="99">
        <v>226</v>
      </c>
      <c r="M22" s="97">
        <f t="shared" ref="M22:M30" si="22">L22-L21</f>
        <v>0</v>
      </c>
      <c r="N22" s="99">
        <v>1722</v>
      </c>
      <c r="O22" s="97">
        <f t="shared" si="18"/>
        <v>31</v>
      </c>
      <c r="P22" s="99">
        <v>496</v>
      </c>
      <c r="Q22" s="97">
        <f t="shared" si="19"/>
        <v>25</v>
      </c>
      <c r="R22" s="99">
        <v>1638</v>
      </c>
      <c r="S22" s="97">
        <f t="shared" si="20"/>
        <v>27</v>
      </c>
      <c r="U22" s="470">
        <f t="shared" si="14"/>
        <v>16103</v>
      </c>
      <c r="V22" s="470">
        <f t="shared" si="1"/>
        <v>83</v>
      </c>
      <c r="W22" s="470">
        <f t="shared" si="2"/>
        <v>27</v>
      </c>
    </row>
    <row r="23" spans="2:23">
      <c r="B23" s="97" t="s">
        <v>19</v>
      </c>
      <c r="C23" s="97"/>
      <c r="D23" s="99">
        <v>804265</v>
      </c>
      <c r="E23" s="97">
        <f t="shared" si="15"/>
        <v>5937</v>
      </c>
      <c r="F23" s="99">
        <v>161531</v>
      </c>
      <c r="G23" s="97">
        <f t="shared" si="16"/>
        <v>1351</v>
      </c>
      <c r="H23" s="99">
        <v>12758</v>
      </c>
      <c r="I23" s="97">
        <f t="shared" si="17"/>
        <v>65</v>
      </c>
      <c r="J23" s="99">
        <v>4978</v>
      </c>
      <c r="K23" s="97">
        <f t="shared" si="21"/>
        <v>31</v>
      </c>
      <c r="L23" s="99">
        <v>226</v>
      </c>
      <c r="M23" s="97">
        <f t="shared" si="22"/>
        <v>0</v>
      </c>
      <c r="N23" s="99">
        <v>1753</v>
      </c>
      <c r="O23" s="97">
        <f t="shared" si="18"/>
        <v>1</v>
      </c>
      <c r="P23" s="99">
        <v>521</v>
      </c>
      <c r="Q23" s="97">
        <f t="shared" si="19"/>
        <v>8</v>
      </c>
      <c r="R23" s="99">
        <v>1665</v>
      </c>
      <c r="S23" s="97">
        <f t="shared" si="20"/>
        <v>8</v>
      </c>
      <c r="U23" s="470">
        <f t="shared" si="14"/>
        <v>7288</v>
      </c>
      <c r="V23" s="470">
        <f t="shared" si="1"/>
        <v>17</v>
      </c>
      <c r="W23" s="470">
        <f t="shared" si="2"/>
        <v>31</v>
      </c>
    </row>
    <row r="24" spans="2:23">
      <c r="B24" s="97" t="s">
        <v>20</v>
      </c>
      <c r="C24" s="97"/>
      <c r="D24" s="99">
        <v>810202</v>
      </c>
      <c r="E24" s="97">
        <f t="shared" si="15"/>
        <v>7465</v>
      </c>
      <c r="F24" s="99">
        <v>162882</v>
      </c>
      <c r="G24" s="97">
        <f t="shared" si="16"/>
        <v>2562</v>
      </c>
      <c r="H24" s="99">
        <v>12823</v>
      </c>
      <c r="I24" s="97">
        <f t="shared" si="17"/>
        <v>76</v>
      </c>
      <c r="J24" s="99">
        <v>5011</v>
      </c>
      <c r="K24" s="97">
        <f t="shared" si="21"/>
        <v>33</v>
      </c>
      <c r="L24" s="99">
        <v>226</v>
      </c>
      <c r="M24" s="97">
        <f t="shared" si="22"/>
        <v>0</v>
      </c>
      <c r="N24" s="99">
        <v>1754</v>
      </c>
      <c r="O24" s="97">
        <f t="shared" si="18"/>
        <v>4</v>
      </c>
      <c r="P24" s="99">
        <v>529</v>
      </c>
      <c r="Q24" s="97">
        <f t="shared" si="19"/>
        <v>3</v>
      </c>
      <c r="R24" s="99">
        <v>1673</v>
      </c>
      <c r="S24" s="97">
        <f t="shared" si="20"/>
        <v>4</v>
      </c>
      <c r="U24" s="470">
        <f t="shared" si="14"/>
        <v>10027</v>
      </c>
      <c r="V24" s="470">
        <f t="shared" si="1"/>
        <v>11</v>
      </c>
      <c r="W24" s="470">
        <f t="shared" si="2"/>
        <v>33</v>
      </c>
    </row>
    <row r="25" spans="2:23">
      <c r="B25" s="97" t="s">
        <v>21</v>
      </c>
      <c r="C25" s="97"/>
      <c r="D25" s="99">
        <v>817667</v>
      </c>
      <c r="E25" s="97">
        <f t="shared" si="15"/>
        <v>3545</v>
      </c>
      <c r="F25" s="99">
        <v>165444</v>
      </c>
      <c r="G25" s="97">
        <f t="shared" si="16"/>
        <v>1132</v>
      </c>
      <c r="H25" s="99">
        <v>12899</v>
      </c>
      <c r="I25" s="97">
        <f t="shared" si="17"/>
        <v>8</v>
      </c>
      <c r="J25" s="99">
        <v>5058</v>
      </c>
      <c r="K25" s="97">
        <f t="shared" si="21"/>
        <v>47</v>
      </c>
      <c r="L25" s="99">
        <v>226</v>
      </c>
      <c r="M25" s="97">
        <f t="shared" si="22"/>
        <v>0</v>
      </c>
      <c r="N25" s="99">
        <v>1758</v>
      </c>
      <c r="O25" s="97">
        <f t="shared" si="18"/>
        <v>7</v>
      </c>
      <c r="P25" s="99">
        <v>532</v>
      </c>
      <c r="Q25" s="97">
        <f t="shared" si="19"/>
        <v>0</v>
      </c>
      <c r="R25" s="99">
        <v>1677</v>
      </c>
      <c r="S25" s="97">
        <f t="shared" si="20"/>
        <v>4</v>
      </c>
      <c r="U25" s="470">
        <f t="shared" si="14"/>
        <v>4677</v>
      </c>
      <c r="V25" s="470">
        <f t="shared" si="1"/>
        <v>11</v>
      </c>
      <c r="W25" s="470">
        <f t="shared" si="2"/>
        <v>47</v>
      </c>
    </row>
    <row r="26" spans="2:23">
      <c r="B26" s="97" t="s">
        <v>22</v>
      </c>
      <c r="C26" s="97"/>
      <c r="D26" s="99">
        <v>821212</v>
      </c>
      <c r="E26" s="97">
        <f t="shared" si="15"/>
        <v>6742</v>
      </c>
      <c r="F26" s="99">
        <v>166576</v>
      </c>
      <c r="G26" s="97">
        <f t="shared" si="16"/>
        <v>2234</v>
      </c>
      <c r="H26" s="99">
        <v>12907</v>
      </c>
      <c r="I26" s="97">
        <f t="shared" si="17"/>
        <v>41</v>
      </c>
      <c r="J26" s="99">
        <v>5117</v>
      </c>
      <c r="K26" s="97">
        <f t="shared" si="21"/>
        <v>59</v>
      </c>
      <c r="L26" s="99">
        <v>226</v>
      </c>
      <c r="M26" s="97">
        <f t="shared" si="22"/>
        <v>0</v>
      </c>
      <c r="N26" s="99">
        <v>1765</v>
      </c>
      <c r="O26" s="97">
        <f t="shared" si="18"/>
        <v>3</v>
      </c>
      <c r="P26" s="99">
        <v>532</v>
      </c>
      <c r="Q26" s="97">
        <f t="shared" si="19"/>
        <v>1</v>
      </c>
      <c r="R26" s="99">
        <v>1681</v>
      </c>
      <c r="S26" s="97">
        <f t="shared" si="20"/>
        <v>1</v>
      </c>
      <c r="U26" s="470">
        <f t="shared" si="14"/>
        <v>8976</v>
      </c>
      <c r="V26" s="470">
        <f t="shared" si="1"/>
        <v>5</v>
      </c>
      <c r="W26" s="470">
        <f t="shared" si="2"/>
        <v>59</v>
      </c>
    </row>
    <row r="27" spans="2:23">
      <c r="B27" s="97" t="s">
        <v>23</v>
      </c>
      <c r="C27" s="97"/>
      <c r="D27" s="99">
        <v>827954</v>
      </c>
      <c r="E27" s="97">
        <f t="shared" si="15"/>
        <v>6418</v>
      </c>
      <c r="F27" s="99">
        <v>168810</v>
      </c>
      <c r="G27" s="97">
        <f t="shared" si="16"/>
        <v>1874</v>
      </c>
      <c r="H27" s="99">
        <v>12948</v>
      </c>
      <c r="I27" s="97">
        <f t="shared" si="17"/>
        <v>81</v>
      </c>
      <c r="J27" s="99">
        <v>5191</v>
      </c>
      <c r="K27" s="97">
        <f t="shared" si="21"/>
        <v>74</v>
      </c>
      <c r="L27" s="99">
        <v>226</v>
      </c>
      <c r="M27" s="97">
        <f t="shared" si="22"/>
        <v>0</v>
      </c>
      <c r="N27" s="99">
        <v>1768</v>
      </c>
      <c r="O27" s="97">
        <f t="shared" si="18"/>
        <v>3</v>
      </c>
      <c r="P27" s="99">
        <v>533</v>
      </c>
      <c r="Q27" s="97">
        <f t="shared" si="19"/>
        <v>3</v>
      </c>
      <c r="R27" s="99">
        <v>1682</v>
      </c>
      <c r="S27" s="97">
        <f t="shared" si="20"/>
        <v>1</v>
      </c>
      <c r="U27" s="470">
        <f t="shared" si="14"/>
        <v>8292</v>
      </c>
      <c r="V27" s="470">
        <f t="shared" si="1"/>
        <v>7</v>
      </c>
      <c r="W27" s="470">
        <f t="shared" si="2"/>
        <v>74</v>
      </c>
    </row>
    <row r="28" spans="2:23">
      <c r="B28" s="97" t="s">
        <v>24</v>
      </c>
      <c r="C28" s="97"/>
      <c r="D28" s="99">
        <v>834372</v>
      </c>
      <c r="E28" s="97">
        <f t="shared" si="15"/>
        <v>6794</v>
      </c>
      <c r="F28" s="99">
        <v>170684</v>
      </c>
      <c r="G28" s="97">
        <f t="shared" si="16"/>
        <v>1946</v>
      </c>
      <c r="H28" s="99">
        <v>13029</v>
      </c>
      <c r="I28" s="97">
        <f t="shared" si="17"/>
        <v>82</v>
      </c>
      <c r="J28" s="99">
        <v>5214</v>
      </c>
      <c r="K28" s="97">
        <f t="shared" si="21"/>
        <v>23</v>
      </c>
      <c r="L28" s="99">
        <v>226</v>
      </c>
      <c r="M28" s="97">
        <f t="shared" si="22"/>
        <v>0</v>
      </c>
      <c r="N28" s="99">
        <v>1771</v>
      </c>
      <c r="O28" s="97">
        <f t="shared" si="18"/>
        <v>9</v>
      </c>
      <c r="P28" s="99">
        <v>536</v>
      </c>
      <c r="Q28" s="97">
        <f t="shared" si="19"/>
        <v>6</v>
      </c>
      <c r="R28" s="99">
        <v>1683</v>
      </c>
      <c r="S28" s="97">
        <f t="shared" si="20"/>
        <v>8</v>
      </c>
      <c r="U28" s="470">
        <f t="shared" si="14"/>
        <v>8740</v>
      </c>
      <c r="V28" s="470">
        <f t="shared" si="1"/>
        <v>23</v>
      </c>
      <c r="W28" s="470">
        <f t="shared" si="2"/>
        <v>23</v>
      </c>
    </row>
    <row r="29" spans="2:23">
      <c r="B29" s="97" t="s">
        <v>25</v>
      </c>
      <c r="C29" s="114"/>
      <c r="D29" s="115">
        <v>841166</v>
      </c>
      <c r="E29" s="97">
        <f t="shared" si="15"/>
        <v>10731</v>
      </c>
      <c r="F29" s="115">
        <v>172630</v>
      </c>
      <c r="G29" s="97">
        <f t="shared" si="16"/>
        <v>2746</v>
      </c>
      <c r="H29" s="115">
        <v>13111</v>
      </c>
      <c r="I29" s="97">
        <f t="shared" si="17"/>
        <v>30</v>
      </c>
      <c r="J29" s="115">
        <v>5230</v>
      </c>
      <c r="K29" s="97">
        <f t="shared" si="21"/>
        <v>16</v>
      </c>
      <c r="L29" s="115">
        <v>226</v>
      </c>
      <c r="M29" s="97">
        <f t="shared" si="22"/>
        <v>0</v>
      </c>
      <c r="N29" s="115">
        <v>1780</v>
      </c>
      <c r="O29" s="97">
        <f t="shared" si="18"/>
        <v>30</v>
      </c>
      <c r="P29" s="115">
        <v>542</v>
      </c>
      <c r="Q29" s="97">
        <f t="shared" si="19"/>
        <v>20</v>
      </c>
      <c r="R29" s="115">
        <v>1691</v>
      </c>
      <c r="S29" s="97">
        <f t="shared" si="20"/>
        <v>23</v>
      </c>
      <c r="U29" s="470">
        <f t="shared" si="14"/>
        <v>13477</v>
      </c>
      <c r="V29" s="470">
        <f t="shared" si="1"/>
        <v>73</v>
      </c>
      <c r="W29" s="470">
        <f t="shared" si="2"/>
        <v>16</v>
      </c>
    </row>
    <row r="30" spans="2:23">
      <c r="B30" s="97" t="s">
        <v>26</v>
      </c>
      <c r="C30" s="114"/>
      <c r="D30" s="115">
        <v>851897</v>
      </c>
      <c r="E30" s="97">
        <f t="shared" si="15"/>
        <v>11093</v>
      </c>
      <c r="F30" s="115">
        <v>175376</v>
      </c>
      <c r="G30" s="97">
        <f t="shared" si="16"/>
        <v>2676</v>
      </c>
      <c r="H30" s="115">
        <v>13141</v>
      </c>
      <c r="I30" s="97">
        <f t="shared" si="17"/>
        <v>64</v>
      </c>
      <c r="J30" s="115">
        <v>5260</v>
      </c>
      <c r="K30" s="97">
        <f t="shared" si="21"/>
        <v>30</v>
      </c>
      <c r="L30" s="115">
        <v>226</v>
      </c>
      <c r="M30" s="97">
        <f t="shared" si="22"/>
        <v>0</v>
      </c>
      <c r="N30" s="115">
        <v>1810</v>
      </c>
      <c r="O30" s="97">
        <f t="shared" si="18"/>
        <v>45</v>
      </c>
      <c r="P30" s="115">
        <v>562</v>
      </c>
      <c r="Q30" s="97">
        <f t="shared" si="19"/>
        <v>29</v>
      </c>
      <c r="R30" s="115">
        <v>1714</v>
      </c>
      <c r="S30" s="97">
        <f t="shared" si="20"/>
        <v>39</v>
      </c>
      <c r="U30" s="470">
        <f t="shared" si="14"/>
        <v>13769</v>
      </c>
      <c r="V30" s="470">
        <f t="shared" si="1"/>
        <v>113</v>
      </c>
      <c r="W30" s="470">
        <f t="shared" si="2"/>
        <v>30</v>
      </c>
    </row>
    <row r="31" spans="2:23">
      <c r="B31" s="97" t="s">
        <v>27</v>
      </c>
      <c r="C31" s="114"/>
      <c r="D31" s="115">
        <v>862990</v>
      </c>
      <c r="F31" s="115">
        <v>178052</v>
      </c>
      <c r="H31" s="115">
        <v>13205</v>
      </c>
      <c r="J31" s="115">
        <v>5281</v>
      </c>
      <c r="K31" s="97">
        <f>J31-J30</f>
        <v>21</v>
      </c>
      <c r="L31" s="115">
        <v>226</v>
      </c>
      <c r="N31" s="115">
        <v>1855</v>
      </c>
      <c r="P31" s="115">
        <v>591</v>
      </c>
      <c r="R31" s="115">
        <v>1753</v>
      </c>
      <c r="U31" s="470">
        <f>E34+G34</f>
        <v>11185</v>
      </c>
      <c r="V31" s="470">
        <f>S34+Q34+O34</f>
        <v>92</v>
      </c>
      <c r="W31" s="470">
        <f>+M34+K34</f>
        <v>18</v>
      </c>
    </row>
    <row r="32" spans="2:23">
      <c r="B32" s="112"/>
      <c r="C32" s="112"/>
      <c r="D32" s="112"/>
      <c r="E32" s="113"/>
      <c r="F32" s="112"/>
      <c r="G32" s="113"/>
      <c r="H32" s="112"/>
      <c r="I32" s="113"/>
      <c r="J32" s="112"/>
      <c r="K32" s="113"/>
      <c r="L32" s="112"/>
      <c r="M32" s="113"/>
      <c r="N32" s="112"/>
      <c r="O32" s="113"/>
      <c r="P32" s="112"/>
      <c r="Q32" s="113"/>
      <c r="R32" s="112"/>
      <c r="S32" s="113"/>
    </row>
    <row r="33" spans="2:23">
      <c r="B33" s="111">
        <v>2024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</row>
    <row r="34" spans="2:23">
      <c r="B34" s="97" t="s">
        <v>16</v>
      </c>
      <c r="C34" s="114"/>
      <c r="D34" s="115">
        <v>871970</v>
      </c>
      <c r="E34" s="97">
        <f>IF(D34-D31&lt;0,0,D34-D31)</f>
        <v>8980</v>
      </c>
      <c r="F34" s="115">
        <v>180257</v>
      </c>
      <c r="G34" s="97">
        <f>IF(F34-F31&lt;0,0,F34-F31)</f>
        <v>2205</v>
      </c>
      <c r="H34" s="115">
        <v>1325</v>
      </c>
      <c r="I34" s="97">
        <f>IF(H34-H31&lt;0,0,H34-H31)</f>
        <v>0</v>
      </c>
      <c r="J34" s="125">
        <v>5299</v>
      </c>
      <c r="K34" s="97">
        <f>IF(J34-J31&lt;0,0,J34-J31)</f>
        <v>18</v>
      </c>
      <c r="L34" s="115">
        <v>226</v>
      </c>
      <c r="M34" s="97">
        <f>IF(L34-L31&lt;0,0,L34-L31)</f>
        <v>0</v>
      </c>
      <c r="N34" s="115">
        <v>1894</v>
      </c>
      <c r="O34" s="97">
        <f>IF(N34-N31&lt;0,0,N34-N31)</f>
        <v>39</v>
      </c>
      <c r="P34" s="115">
        <v>615</v>
      </c>
      <c r="Q34" s="97">
        <f>IF(P34-P31&lt;0,0,P34-P31)</f>
        <v>24</v>
      </c>
      <c r="R34" s="115">
        <v>1782</v>
      </c>
      <c r="S34" s="97">
        <f>IF(R34-R31&lt;0,0,R34-R31)</f>
        <v>29</v>
      </c>
      <c r="U34" s="470">
        <f>E34+G34</f>
        <v>11185</v>
      </c>
      <c r="V34" s="470">
        <f>S34+Q34+O34</f>
        <v>92</v>
      </c>
      <c r="W34" s="470">
        <f>+M34+K34</f>
        <v>18</v>
      </c>
    </row>
    <row r="35" spans="2:23">
      <c r="B35" s="97" t="s">
        <v>17</v>
      </c>
      <c r="C35" s="114"/>
      <c r="D35" s="115">
        <v>881063</v>
      </c>
      <c r="E35" s="97">
        <f>IF(D35-D34&lt;0,0,D35-D34)</f>
        <v>9093</v>
      </c>
      <c r="F35" s="115">
        <v>182783</v>
      </c>
      <c r="G35" s="97">
        <f>IF(F35-F34&lt;0,0,F35-F34)</f>
        <v>2526</v>
      </c>
      <c r="H35" s="115">
        <v>1329</v>
      </c>
      <c r="I35" s="97">
        <f>IF(H35-H34&lt;0,0,H35-H34)</f>
        <v>4</v>
      </c>
      <c r="J35" s="125">
        <v>5317</v>
      </c>
      <c r="K35" s="97">
        <f>IF(J35-J34&lt;0,0,J35-J34)</f>
        <v>18</v>
      </c>
      <c r="L35" s="115">
        <v>226</v>
      </c>
      <c r="M35" s="97">
        <f>IF(L35-L34&lt;0,0,L35-L34)</f>
        <v>0</v>
      </c>
      <c r="N35" s="115">
        <v>1929</v>
      </c>
      <c r="O35" s="97">
        <f>IF(N35-N34&lt;0,0,N35-N34)</f>
        <v>35</v>
      </c>
      <c r="P35" s="115">
        <v>633</v>
      </c>
      <c r="Q35" s="97">
        <f>IF(P35-P34&lt;0,0,P35-P34)</f>
        <v>18</v>
      </c>
      <c r="R35" s="115">
        <v>1810</v>
      </c>
      <c r="S35" s="97">
        <f>IF(R35-R34&lt;0,0,R35-R34)</f>
        <v>28</v>
      </c>
      <c r="U35" s="470">
        <f>E35+G35</f>
        <v>11619</v>
      </c>
      <c r="V35" s="470">
        <f>S35+Q35+O35</f>
        <v>81</v>
      </c>
      <c r="W35" s="470">
        <f>+M35+K35</f>
        <v>18</v>
      </c>
    </row>
    <row r="36" spans="2:23">
      <c r="B36" s="97" t="s">
        <v>18</v>
      </c>
      <c r="C36" s="114"/>
      <c r="D36" s="115">
        <v>891813</v>
      </c>
      <c r="E36" s="97">
        <f>IF(D36-D35&lt;0,0,D36-D35)</f>
        <v>10750</v>
      </c>
      <c r="F36" s="115">
        <v>184991</v>
      </c>
      <c r="G36" s="97">
        <f>IF(F36-F35&lt;0,0,F36-F35)</f>
        <v>2208</v>
      </c>
      <c r="H36" s="115">
        <v>1333</v>
      </c>
      <c r="I36" s="97">
        <f>IF(H36-H35&lt;0,0,H36-H35)</f>
        <v>4</v>
      </c>
      <c r="J36" s="125">
        <v>5336</v>
      </c>
      <c r="K36" s="97">
        <f>IF(J36-J35&lt;0,0,J36-J35)</f>
        <v>19</v>
      </c>
      <c r="L36" s="115">
        <v>226</v>
      </c>
      <c r="M36" s="97">
        <f>IF(L36-L35&lt;0,0,L36-L35)</f>
        <v>0</v>
      </c>
      <c r="N36" s="115">
        <v>1956</v>
      </c>
      <c r="O36" s="97">
        <f>IF(N36-N35&lt;0,0,N36-N35)</f>
        <v>27</v>
      </c>
      <c r="P36" s="115">
        <v>640</v>
      </c>
      <c r="Q36" s="97">
        <f>IF(P36-P35&lt;0,0,P36-P35)</f>
        <v>7</v>
      </c>
      <c r="R36" s="115">
        <v>1835</v>
      </c>
      <c r="S36" s="97">
        <f>IF(R36-R35&lt;0,0,R36-R35)</f>
        <v>25</v>
      </c>
      <c r="U36" s="470">
        <f>E36+G36</f>
        <v>12958</v>
      </c>
      <c r="V36" s="470">
        <f>S36+Q36+O36</f>
        <v>59</v>
      </c>
      <c r="W36" s="470">
        <f>+M36+K36</f>
        <v>19</v>
      </c>
    </row>
    <row r="37" spans="2:23">
      <c r="B37" s="97" t="s">
        <v>19</v>
      </c>
      <c r="C37" s="114"/>
      <c r="D37" s="115">
        <v>900396</v>
      </c>
      <c r="E37" s="97">
        <f>IF(D37-D36&lt;0,0,D37-D36)</f>
        <v>8583</v>
      </c>
      <c r="F37" s="115">
        <v>186782</v>
      </c>
      <c r="G37" s="97">
        <f>IF(F37-F36&lt;0,0,F37-F36)</f>
        <v>1791</v>
      </c>
      <c r="H37" s="115">
        <v>1338</v>
      </c>
      <c r="I37" s="97">
        <f>IF(H37-H36&lt;0,0,H37-H36)</f>
        <v>5</v>
      </c>
      <c r="J37" s="125">
        <v>5355</v>
      </c>
      <c r="K37" s="97">
        <f>IF(J37-J36&lt;0,0,J37-J36)</f>
        <v>19</v>
      </c>
      <c r="L37" s="115">
        <v>226</v>
      </c>
      <c r="M37" s="97">
        <f>IF(L37-L36&lt;0,0,L37-L36)</f>
        <v>0</v>
      </c>
      <c r="N37" s="115">
        <v>1970</v>
      </c>
      <c r="O37" s="97">
        <f>IF(N37-N36&lt;0,0,N37-N36)</f>
        <v>14</v>
      </c>
      <c r="P37" s="115">
        <v>644</v>
      </c>
      <c r="Q37" s="97">
        <f>IF(P37-P36&lt;0,0,P37-P36)</f>
        <v>4</v>
      </c>
      <c r="R37" s="115">
        <v>1849</v>
      </c>
      <c r="S37" s="97">
        <f>IF(R37-R36&lt;0,0,R37-R36)</f>
        <v>14</v>
      </c>
      <c r="U37" s="470">
        <f>E37+G37</f>
        <v>10374</v>
      </c>
      <c r="V37" s="470">
        <f>S37+Q37+O37</f>
        <v>32</v>
      </c>
      <c r="W37" s="470">
        <f>+M37+K37</f>
        <v>19</v>
      </c>
    </row>
    <row r="38" spans="2:23">
      <c r="B38" s="97" t="s">
        <v>20</v>
      </c>
      <c r="C38" s="305">
        <v>45446</v>
      </c>
      <c r="D38" s="115">
        <v>909922</v>
      </c>
      <c r="E38" s="97">
        <f>IF(D38-D37&lt;0,0,D38-D37)</f>
        <v>9526</v>
      </c>
      <c r="F38" s="115">
        <v>189035</v>
      </c>
      <c r="G38" s="97">
        <f>IF(F38-F37&lt;0,0,F38-F37)</f>
        <v>2253</v>
      </c>
      <c r="H38" s="115">
        <v>1343</v>
      </c>
      <c r="I38" s="97">
        <f>IF(H38-H37&lt;0,0,H38-H37)</f>
        <v>5</v>
      </c>
      <c r="J38" s="125">
        <v>5379</v>
      </c>
      <c r="K38" s="97">
        <f>IF(J38-J37&lt;0,0,J38-J37)</f>
        <v>24</v>
      </c>
      <c r="L38" s="115">
        <v>226</v>
      </c>
      <c r="M38" s="97">
        <f>IF(L38-L37&lt;0,0,L38-L37)</f>
        <v>0</v>
      </c>
      <c r="N38" s="115">
        <v>1975</v>
      </c>
      <c r="O38" s="97">
        <f>IF(N38-N37&lt;0,0,N38-N37)</f>
        <v>5</v>
      </c>
      <c r="P38" s="115">
        <v>645</v>
      </c>
      <c r="Q38" s="97">
        <f>IF(P38-P37&lt;0,0,P38-P37)</f>
        <v>1</v>
      </c>
      <c r="R38" s="115">
        <v>1856</v>
      </c>
      <c r="S38" s="97">
        <f>IF(R38-R37&lt;0,0,R38-R37)</f>
        <v>7</v>
      </c>
      <c r="U38" s="470">
        <f>E38+G38</f>
        <v>11779</v>
      </c>
      <c r="V38" s="470">
        <f>S38+Q38+O38</f>
        <v>13</v>
      </c>
      <c r="W38" s="470">
        <f>+M38+K38</f>
        <v>24</v>
      </c>
    </row>
    <row r="39" spans="2:23">
      <c r="B39" s="97" t="s">
        <v>21</v>
      </c>
      <c r="C39" s="114"/>
      <c r="D39" s="115">
        <v>918946</v>
      </c>
      <c r="E39" s="97">
        <f>IF(D39-D38&lt;0,0,D39-D38)</f>
        <v>9024</v>
      </c>
      <c r="F39" s="115">
        <v>190760</v>
      </c>
      <c r="G39" s="97">
        <f>IF(F39-F38&lt;0,0,F39-F38)</f>
        <v>1725</v>
      </c>
      <c r="H39" s="115">
        <v>1347</v>
      </c>
      <c r="I39" s="97">
        <f>IF(H39-H38&lt;0,0,H39-H38)</f>
        <v>4</v>
      </c>
      <c r="J39" s="125">
        <v>5405</v>
      </c>
      <c r="K39" s="97">
        <f>IF(J39-J38&lt;0,0,J39-J38)</f>
        <v>26</v>
      </c>
      <c r="L39" s="115">
        <v>226</v>
      </c>
      <c r="M39" s="97">
        <f>IF(L39-L38&lt;0,0,L39-L38)</f>
        <v>0</v>
      </c>
      <c r="N39" s="115">
        <v>1978</v>
      </c>
      <c r="O39" s="97">
        <f>IF(N39-N38&lt;0,0,N39-N38)</f>
        <v>3</v>
      </c>
      <c r="P39" s="115">
        <v>646</v>
      </c>
      <c r="Q39" s="97">
        <f>IF(P39-P38&lt;0,0,P39-P38)</f>
        <v>1</v>
      </c>
      <c r="R39" s="115">
        <v>1860</v>
      </c>
      <c r="S39" s="97">
        <f>IF(R39-R38&lt;0,0,R39-R38)</f>
        <v>4</v>
      </c>
      <c r="U39" s="470">
        <f>E39+G39</f>
        <v>10749</v>
      </c>
      <c r="V39" s="470">
        <f>S39+Q39+O39</f>
        <v>8</v>
      </c>
      <c r="W39" s="470">
        <f>+M39+K39</f>
        <v>26</v>
      </c>
    </row>
    <row r="40" spans="2:23">
      <c r="B40" s="97" t="s">
        <v>22</v>
      </c>
      <c r="C40" s="114"/>
      <c r="D40" s="115">
        <v>924273</v>
      </c>
      <c r="E40" s="97">
        <f>IF(D40-D39&lt;0,0,D40-D39)</f>
        <v>5327</v>
      </c>
      <c r="F40" s="115">
        <v>192070</v>
      </c>
      <c r="G40" s="97">
        <f>IF(F40-F39&lt;0,0,F40-F39)</f>
        <v>1310</v>
      </c>
      <c r="H40" s="115">
        <v>1349</v>
      </c>
      <c r="I40" s="97">
        <f>IF(H40-H39&lt;0,0,H40-H39)</f>
        <v>2</v>
      </c>
      <c r="J40" s="125">
        <v>5416</v>
      </c>
      <c r="K40" s="97">
        <f>IF(J40-J39&lt;0,0,J40-J39)</f>
        <v>11</v>
      </c>
      <c r="L40" s="115">
        <v>226</v>
      </c>
      <c r="M40" s="97">
        <f>IF(L40-L39&lt;0,0,L40-L39)</f>
        <v>0</v>
      </c>
      <c r="N40" s="115">
        <v>1981</v>
      </c>
      <c r="O40" s="97">
        <f>IF(N40-N39&lt;0,0,N40-N39)</f>
        <v>3</v>
      </c>
      <c r="P40" s="115">
        <v>647</v>
      </c>
      <c r="Q40" s="97">
        <f>IF(P40-P39&lt;0,0,P40-P39)</f>
        <v>1</v>
      </c>
      <c r="R40" s="115">
        <v>1863</v>
      </c>
      <c r="S40" s="97">
        <f>IF(R40-R39&lt;0,0,R40-R39)</f>
        <v>3</v>
      </c>
      <c r="U40" s="470">
        <f>E40+G40</f>
        <v>6637</v>
      </c>
      <c r="V40" s="470">
        <f>S40+Q40+O40</f>
        <v>7</v>
      </c>
      <c r="W40" s="470">
        <f>+M40+K40</f>
        <v>11</v>
      </c>
    </row>
    <row r="41" spans="2:23">
      <c r="B41" s="97" t="s">
        <v>23</v>
      </c>
      <c r="C41" s="114"/>
      <c r="D41" s="115">
        <v>931719</v>
      </c>
      <c r="E41" s="97">
        <f>IF(D41-D40&lt;0,0,D41-D40)</f>
        <v>7446</v>
      </c>
      <c r="F41" s="115">
        <v>193548</v>
      </c>
      <c r="G41" s="97">
        <f>IF(F41-F40&lt;0,0,F41-F40)</f>
        <v>1478</v>
      </c>
      <c r="H41" s="115">
        <v>1352</v>
      </c>
      <c r="I41" s="97">
        <f>IF(H41-H40&lt;0,0,H41-H40)</f>
        <v>3</v>
      </c>
      <c r="J41" s="125">
        <v>5434</v>
      </c>
      <c r="K41" s="97">
        <f>IF(J41-J40&lt;0,0,J41-J40)</f>
        <v>18</v>
      </c>
      <c r="L41" s="115">
        <v>226</v>
      </c>
      <c r="M41" s="97">
        <f>IF(L41-L40&lt;0,0,L41-L40)</f>
        <v>0</v>
      </c>
      <c r="N41" s="115">
        <v>1983</v>
      </c>
      <c r="O41" s="97">
        <f>IF(N41-N40&lt;0,0,N41-N40)</f>
        <v>2</v>
      </c>
      <c r="P41" s="115">
        <v>648</v>
      </c>
      <c r="Q41" s="97">
        <f>IF(P41-P40&lt;0,0,P41-P40)</f>
        <v>1</v>
      </c>
      <c r="R41" s="115">
        <v>1865</v>
      </c>
      <c r="S41" s="97">
        <f>IF(R41-R40&lt;0,0,R41-R40)</f>
        <v>2</v>
      </c>
      <c r="U41" s="470">
        <f>E41+G41</f>
        <v>8924</v>
      </c>
      <c r="V41" s="470">
        <f>S41+Q41+O41</f>
        <v>5</v>
      </c>
      <c r="W41" s="470">
        <f>+M41+K41</f>
        <v>18</v>
      </c>
    </row>
    <row r="42" spans="2:23">
      <c r="B42" s="97" t="s">
        <v>24</v>
      </c>
      <c r="C42" s="114"/>
      <c r="D42" s="115">
        <v>938962</v>
      </c>
      <c r="E42" s="97">
        <f>IF(D42-D41&lt;0,0,D42-D41)</f>
        <v>7243</v>
      </c>
      <c r="F42" s="115">
        <v>195600</v>
      </c>
      <c r="G42" s="97">
        <f>IF(F42-F41&lt;0,0,F42-F41)</f>
        <v>2052</v>
      </c>
      <c r="H42" s="115">
        <v>1357</v>
      </c>
      <c r="I42" s="97">
        <f>IF(H42-H41&lt;0,0,H42-H41)</f>
        <v>5</v>
      </c>
      <c r="J42" s="125">
        <v>5465</v>
      </c>
      <c r="K42" s="97">
        <f>IF(J42-J41&lt;0,0,J42-J41)</f>
        <v>31</v>
      </c>
      <c r="L42" s="115">
        <v>226</v>
      </c>
      <c r="M42" s="97">
        <f>IF(L42-L41&lt;0,0,L42-L41)</f>
        <v>0</v>
      </c>
      <c r="N42" s="115">
        <v>1986</v>
      </c>
      <c r="O42" s="97">
        <f>IF(N42-N41&lt;0,0,N42-N41)</f>
        <v>3</v>
      </c>
      <c r="P42" s="115">
        <v>649</v>
      </c>
      <c r="Q42" s="97">
        <f>IF(P42-P41&lt;0,0,P42-P41)</f>
        <v>1</v>
      </c>
      <c r="R42" s="115">
        <v>1869</v>
      </c>
      <c r="S42" s="97">
        <f>IF(R42-R41&lt;0,0,R42-R41)</f>
        <v>4</v>
      </c>
      <c r="U42" s="470">
        <f>E42+G42</f>
        <v>9295</v>
      </c>
      <c r="V42" s="470">
        <f>S42+Q42+O42</f>
        <v>8</v>
      </c>
      <c r="W42" s="470">
        <f>+M42+K42</f>
        <v>31</v>
      </c>
    </row>
    <row r="43" spans="2:23">
      <c r="B43" s="97" t="s">
        <v>25</v>
      </c>
      <c r="C43" s="114"/>
      <c r="D43" s="115">
        <v>945837</v>
      </c>
      <c r="E43" s="97">
        <f>IF(D43-D42&lt;0,0,D43-D42)</f>
        <v>6875</v>
      </c>
      <c r="F43" s="115">
        <v>197896</v>
      </c>
      <c r="G43" s="97">
        <f>IF(F43-F42&lt;0,0,F43-F42)</f>
        <v>2296</v>
      </c>
      <c r="H43" s="115">
        <v>1361</v>
      </c>
      <c r="I43" s="97">
        <f>IF(H43-H42&lt;0,0,H43-H42)</f>
        <v>4</v>
      </c>
      <c r="J43" s="125">
        <v>5483</v>
      </c>
      <c r="K43" s="97">
        <f>IF(J43-J42&lt;0,0,J43-J42)</f>
        <v>18</v>
      </c>
      <c r="L43" s="115">
        <v>226</v>
      </c>
      <c r="M43" s="97">
        <f>IF(L43-L42&lt;0,0,L43-L42)</f>
        <v>0</v>
      </c>
      <c r="N43" s="115">
        <v>1999</v>
      </c>
      <c r="O43" s="97">
        <f>IF(N43-N42&lt;0,0,N43-N42)</f>
        <v>13</v>
      </c>
      <c r="P43" s="115">
        <v>660</v>
      </c>
      <c r="Q43" s="97">
        <f>IF(P43-P42&lt;0,0,P43-P42)</f>
        <v>11</v>
      </c>
      <c r="R43" s="115">
        <v>1884</v>
      </c>
      <c r="S43" s="97">
        <f>IF(R43-R42&lt;0,0,R43-R42)</f>
        <v>15</v>
      </c>
      <c r="U43" s="470">
        <f>E43+G43</f>
        <v>9171</v>
      </c>
      <c r="V43" s="470">
        <f>S43+Q43+O43</f>
        <v>39</v>
      </c>
      <c r="W43" s="470">
        <f>+M43+K43</f>
        <v>18</v>
      </c>
    </row>
    <row r="44" spans="2:23">
      <c r="B44" s="97" t="s">
        <v>26</v>
      </c>
      <c r="C44" s="114"/>
      <c r="D44" s="115">
        <v>954766</v>
      </c>
      <c r="E44" s="97">
        <f>IF(D44-D43&lt;0,0,D44-D43)</f>
        <v>8929</v>
      </c>
      <c r="F44" s="115">
        <v>200359</v>
      </c>
      <c r="G44" s="97">
        <f>IF(F44-F43&lt;0,0,F44-F43)</f>
        <v>2463</v>
      </c>
      <c r="H44" s="115">
        <v>26</v>
      </c>
      <c r="I44" s="97">
        <v>26</v>
      </c>
      <c r="J44" s="125">
        <v>9</v>
      </c>
      <c r="K44" s="97">
        <v>9</v>
      </c>
      <c r="L44" s="115">
        <v>226</v>
      </c>
      <c r="M44" s="97">
        <f>IF(L44-L43&lt;0,0,L44-L43)</f>
        <v>0</v>
      </c>
      <c r="N44" s="115">
        <v>2026</v>
      </c>
      <c r="O44" s="97">
        <f>IF(N44-N43&lt;0,0,N44-N43)</f>
        <v>27</v>
      </c>
      <c r="P44" s="115">
        <v>680</v>
      </c>
      <c r="Q44" s="97">
        <f>IF(P44-P43&lt;0,0,P44-P43)</f>
        <v>20</v>
      </c>
      <c r="R44" s="115">
        <v>1900</v>
      </c>
      <c r="S44" s="97">
        <f>IF(R44-R43&lt;0,0,R44-R43)</f>
        <v>16</v>
      </c>
      <c r="U44" s="470">
        <f>E44+G44</f>
        <v>11392</v>
      </c>
      <c r="V44" s="470">
        <f>S44+Q44+O44</f>
        <v>63</v>
      </c>
      <c r="W44" s="470">
        <f>+M44+K44</f>
        <v>9</v>
      </c>
    </row>
    <row r="45" spans="2:23">
      <c r="B45" s="97" t="s">
        <v>27</v>
      </c>
      <c r="C45" s="305">
        <v>45653</v>
      </c>
      <c r="D45" s="115">
        <v>962308</v>
      </c>
      <c r="E45" s="97">
        <f>IF(D45-D44&lt;0,0,D45-D44)</f>
        <v>7542</v>
      </c>
      <c r="F45" s="115">
        <v>202524</v>
      </c>
      <c r="G45" s="97">
        <f>IF(F45-F44&lt;0,0,F45-F44)</f>
        <v>2165</v>
      </c>
      <c r="H45" s="115">
        <v>65</v>
      </c>
      <c r="I45" s="97">
        <f>IF(H45-H44&lt;0,0,H45-H44)</f>
        <v>39</v>
      </c>
      <c r="J45" s="125">
        <v>23</v>
      </c>
      <c r="K45" s="97">
        <f>IF(J45-J44&lt;0,0,J45-J44)</f>
        <v>14</v>
      </c>
      <c r="L45" s="115">
        <v>226</v>
      </c>
      <c r="M45" s="97">
        <f>IF(L45-L44&lt;0,0,L45-L44)</f>
        <v>0</v>
      </c>
      <c r="N45" s="115">
        <v>2058</v>
      </c>
      <c r="O45" s="97">
        <f>IF(N45-N44&lt;0,0,N45-N44)</f>
        <v>32</v>
      </c>
      <c r="P45" s="115">
        <v>699</v>
      </c>
      <c r="Q45" s="97">
        <f>IF(P45-P44&lt;0,0,P45-P44)</f>
        <v>19</v>
      </c>
      <c r="R45" s="115">
        <v>1924</v>
      </c>
      <c r="S45" s="97">
        <f>IF(R45-R44&lt;0,0,R45-R44)</f>
        <v>24</v>
      </c>
      <c r="U45" s="470">
        <f>E45+G45</f>
        <v>9707</v>
      </c>
      <c r="V45" s="470">
        <f>S45+Q45+O45</f>
        <v>75</v>
      </c>
      <c r="W45" s="470">
        <f>+M45+K45</f>
        <v>14</v>
      </c>
    </row>
    <row r="46" spans="2:23">
      <c r="B46" s="112"/>
      <c r="C46" s="112"/>
      <c r="D46" s="112"/>
      <c r="E46" s="113"/>
      <c r="F46" s="112"/>
      <c r="G46" s="113"/>
      <c r="H46" s="112"/>
      <c r="I46" s="113"/>
      <c r="J46" s="112"/>
      <c r="K46" s="113"/>
      <c r="L46" s="112"/>
      <c r="M46" s="113"/>
      <c r="N46" s="112"/>
      <c r="O46" s="113"/>
      <c r="P46" s="112"/>
      <c r="Q46" s="113"/>
      <c r="R46" s="112"/>
      <c r="S46" s="113"/>
    </row>
    <row r="47" spans="2:23">
      <c r="B47" s="111">
        <v>2025</v>
      </c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</row>
    <row r="48" spans="2:23">
      <c r="B48" s="97" t="s">
        <v>16</v>
      </c>
      <c r="C48" s="114" t="s">
        <v>29</v>
      </c>
      <c r="D48" s="115">
        <v>971029</v>
      </c>
      <c r="E48" s="97">
        <f>IF(D48-D45&lt;0,0,D48-D45)</f>
        <v>8721</v>
      </c>
      <c r="F48" s="115">
        <v>204877</v>
      </c>
      <c r="G48" s="97">
        <f>IF(F48-F45&lt;0,0,F48-F45)</f>
        <v>2353</v>
      </c>
      <c r="H48" s="115">
        <v>114</v>
      </c>
      <c r="I48" s="97">
        <f>IF(H48-H45&lt;0,0,H48-H45)</f>
        <v>49</v>
      </c>
      <c r="J48" s="125">
        <v>39</v>
      </c>
      <c r="K48" s="97">
        <f>IF(J48-J45&lt;0,0,J48-J45)</f>
        <v>16</v>
      </c>
      <c r="L48" s="115">
        <v>226</v>
      </c>
      <c r="M48" s="97">
        <f>IF(L48-L45&lt;0,0,L48-L45)</f>
        <v>0</v>
      </c>
      <c r="N48" s="115">
        <v>2103</v>
      </c>
      <c r="O48" s="97">
        <f>IF(N48-N45&lt;0,0,N48-N45)</f>
        <v>45</v>
      </c>
      <c r="P48" s="115">
        <v>727</v>
      </c>
      <c r="Q48" s="97">
        <f>IF(P48-P45&lt;0,0,P48-P45)</f>
        <v>28</v>
      </c>
      <c r="R48" s="115">
        <v>1944</v>
      </c>
      <c r="S48" s="97">
        <f>IF(R48-R45&lt;0,0,R48-R45)</f>
        <v>20</v>
      </c>
      <c r="U48" s="470">
        <f t="shared" ref="U47:U60" si="23">E48+G48</f>
        <v>11074</v>
      </c>
      <c r="V48" s="470">
        <f t="shared" ref="V47:V60" si="24">S48+Q48+O48</f>
        <v>93</v>
      </c>
      <c r="W48" s="470">
        <f t="shared" ref="W47:W60" si="25">+M48+K48</f>
        <v>16</v>
      </c>
    </row>
    <row r="49" spans="2:23">
      <c r="B49" s="97" t="s">
        <v>17</v>
      </c>
      <c r="C49" s="114"/>
      <c r="D49" s="115">
        <v>974500</v>
      </c>
      <c r="E49" s="97">
        <f>IF(D49-D48&lt;0,0,D49-D48)</f>
        <v>3471</v>
      </c>
      <c r="F49" s="115">
        <v>205800</v>
      </c>
      <c r="G49" s="97">
        <f>IF(F49-F48&lt;0,0,F49-F48)</f>
        <v>923</v>
      </c>
      <c r="H49" s="115">
        <v>130</v>
      </c>
      <c r="I49" s="97">
        <f>IF(H49-H48&lt;0,0,H49-H48)</f>
        <v>16</v>
      </c>
      <c r="J49" s="125">
        <v>45</v>
      </c>
      <c r="K49" s="97">
        <f>IF(J49-J48&lt;0,0,J49-J48)</f>
        <v>6</v>
      </c>
      <c r="L49" s="115">
        <v>226</v>
      </c>
      <c r="M49" s="97">
        <f>IF(L49-L48&lt;0,0,L49-L48)</f>
        <v>0</v>
      </c>
      <c r="N49" s="115">
        <v>2122</v>
      </c>
      <c r="O49" s="97">
        <f>IF(N49-N48&lt;0,0,N49-N48)</f>
        <v>19</v>
      </c>
      <c r="P49" s="115">
        <v>737</v>
      </c>
      <c r="Q49" s="97">
        <f>IF(P49-P48&lt;0,0,P49-P48)</f>
        <v>10</v>
      </c>
      <c r="R49" s="115">
        <v>1962</v>
      </c>
      <c r="S49" s="97">
        <f>IF(R49-R48&lt;0,0,R49-R48)</f>
        <v>18</v>
      </c>
      <c r="U49" s="470">
        <f t="shared" si="23"/>
        <v>4394</v>
      </c>
      <c r="V49" s="470">
        <f t="shared" si="24"/>
        <v>47</v>
      </c>
      <c r="W49" s="470">
        <f t="shared" si="25"/>
        <v>6</v>
      </c>
    </row>
    <row r="50" spans="2:23">
      <c r="B50" s="97" t="s">
        <v>18</v>
      </c>
      <c r="C50" s="479">
        <v>45719</v>
      </c>
      <c r="D50" s="115">
        <v>978008</v>
      </c>
      <c r="E50" s="97">
        <f t="shared" ref="E50:E59" si="26">IF(D50-D49&lt;0,0,D50-D49)</f>
        <v>3508</v>
      </c>
      <c r="F50" s="115">
        <v>206699</v>
      </c>
      <c r="G50" s="97">
        <f t="shared" ref="G50:G59" si="27">IF(F50-F49&lt;0,0,F50-F49)</f>
        <v>899</v>
      </c>
      <c r="H50" s="115">
        <v>145</v>
      </c>
      <c r="I50" s="97">
        <f t="shared" ref="I50:I59" si="28">IF(H50-H49&lt;0,0,H50-H49)</f>
        <v>15</v>
      </c>
      <c r="J50" s="125">
        <v>52</v>
      </c>
      <c r="K50" s="97">
        <f t="shared" ref="K50:K59" si="29">IF(J50-J49&lt;0,0,J50-J49)</f>
        <v>7</v>
      </c>
      <c r="L50" s="115">
        <v>226</v>
      </c>
      <c r="M50" s="97">
        <f t="shared" ref="M50:M59" si="30">IF(L50-L49&lt;0,0,L50-L49)</f>
        <v>0</v>
      </c>
      <c r="N50" s="115">
        <v>2139</v>
      </c>
      <c r="O50" s="97">
        <f t="shared" ref="O50:O59" si="31">IF(N50-N49&lt;0,0,N50-N49)</f>
        <v>17</v>
      </c>
      <c r="P50" s="115">
        <v>747</v>
      </c>
      <c r="Q50" s="97">
        <f t="shared" ref="Q50:Q59" si="32">IF(P50-P49&lt;0,0,P50-P49)</f>
        <v>10</v>
      </c>
      <c r="R50" s="115">
        <v>1976</v>
      </c>
      <c r="S50" s="97">
        <f t="shared" ref="S50:S59" si="33">IF(R50-R49&lt;0,0,R50-R49)</f>
        <v>14</v>
      </c>
      <c r="U50" s="470">
        <f t="shared" si="23"/>
        <v>4407</v>
      </c>
      <c r="V50" s="470">
        <f t="shared" si="24"/>
        <v>41</v>
      </c>
      <c r="W50" s="470">
        <f t="shared" si="25"/>
        <v>7</v>
      </c>
    </row>
    <row r="51" spans="2:23">
      <c r="B51" s="97" t="s">
        <v>19</v>
      </c>
      <c r="C51" s="479">
        <v>45748</v>
      </c>
      <c r="D51" s="115">
        <v>986891</v>
      </c>
      <c r="E51" s="97">
        <f t="shared" si="26"/>
        <v>8883</v>
      </c>
      <c r="F51" s="115">
        <v>208783</v>
      </c>
      <c r="G51" s="97">
        <f t="shared" si="27"/>
        <v>2084</v>
      </c>
      <c r="H51" s="115">
        <v>202</v>
      </c>
      <c r="I51" s="97">
        <f t="shared" si="28"/>
        <v>57</v>
      </c>
      <c r="J51" s="125">
        <v>71</v>
      </c>
      <c r="K51" s="97">
        <f t="shared" si="29"/>
        <v>19</v>
      </c>
      <c r="L51" s="115">
        <v>226</v>
      </c>
      <c r="M51" s="97">
        <f t="shared" si="30"/>
        <v>0</v>
      </c>
      <c r="N51" s="115">
        <v>2172</v>
      </c>
      <c r="O51" s="97">
        <f t="shared" si="31"/>
        <v>33</v>
      </c>
      <c r="P51" s="115">
        <v>765</v>
      </c>
      <c r="Q51" s="97">
        <f t="shared" si="32"/>
        <v>18</v>
      </c>
      <c r="R51" s="115">
        <v>1998</v>
      </c>
      <c r="S51" s="97">
        <f t="shared" si="33"/>
        <v>22</v>
      </c>
      <c r="U51" s="470">
        <f t="shared" si="23"/>
        <v>10967</v>
      </c>
      <c r="V51" s="470">
        <f t="shared" si="24"/>
        <v>73</v>
      </c>
      <c r="W51" s="470">
        <f t="shared" si="25"/>
        <v>19</v>
      </c>
    </row>
    <row r="52" spans="2:23">
      <c r="B52" s="97" t="s">
        <v>20</v>
      </c>
      <c r="C52" s="305">
        <v>45778</v>
      </c>
      <c r="D52" s="115">
        <v>993278</v>
      </c>
      <c r="E52" s="97">
        <f t="shared" si="26"/>
        <v>6387</v>
      </c>
      <c r="F52" s="115">
        <v>210343</v>
      </c>
      <c r="G52" s="97">
        <f t="shared" si="27"/>
        <v>1560</v>
      </c>
      <c r="H52" s="115">
        <v>240</v>
      </c>
      <c r="I52" s="97">
        <f t="shared" si="28"/>
        <v>38</v>
      </c>
      <c r="J52" s="125">
        <v>87</v>
      </c>
      <c r="K52" s="97">
        <f t="shared" si="29"/>
        <v>16</v>
      </c>
      <c r="L52" s="115">
        <v>226</v>
      </c>
      <c r="M52" s="97">
        <f t="shared" si="30"/>
        <v>0</v>
      </c>
      <c r="N52" s="115">
        <v>2189</v>
      </c>
      <c r="O52" s="97">
        <f t="shared" si="31"/>
        <v>17</v>
      </c>
      <c r="P52" s="115">
        <v>774</v>
      </c>
      <c r="Q52" s="97">
        <f t="shared" si="32"/>
        <v>9</v>
      </c>
      <c r="R52" s="115">
        <v>2011</v>
      </c>
      <c r="S52" s="97">
        <f t="shared" si="33"/>
        <v>13</v>
      </c>
      <c r="U52" s="470">
        <f t="shared" si="23"/>
        <v>7947</v>
      </c>
      <c r="V52" s="470">
        <f t="shared" si="24"/>
        <v>39</v>
      </c>
      <c r="W52" s="470">
        <f t="shared" si="25"/>
        <v>16</v>
      </c>
    </row>
    <row r="53" spans="2:23">
      <c r="B53" s="97" t="s">
        <v>21</v>
      </c>
      <c r="C53" s="479">
        <v>45810</v>
      </c>
      <c r="D53" s="115">
        <v>1000767</v>
      </c>
      <c r="E53" s="97">
        <f t="shared" si="26"/>
        <v>7489</v>
      </c>
      <c r="F53" s="115">
        <v>211975</v>
      </c>
      <c r="G53" s="97">
        <f t="shared" si="27"/>
        <v>1632</v>
      </c>
      <c r="H53" s="115">
        <v>295</v>
      </c>
      <c r="I53" s="97">
        <f t="shared" si="28"/>
        <v>55</v>
      </c>
      <c r="J53" s="125">
        <v>108</v>
      </c>
      <c r="K53" s="97">
        <f t="shared" si="29"/>
        <v>21</v>
      </c>
      <c r="L53" s="115">
        <v>226</v>
      </c>
      <c r="M53" s="97">
        <f t="shared" si="30"/>
        <v>0</v>
      </c>
      <c r="N53" s="115">
        <v>2198</v>
      </c>
      <c r="O53" s="97">
        <f t="shared" si="31"/>
        <v>9</v>
      </c>
      <c r="P53" s="115">
        <v>778</v>
      </c>
      <c r="Q53" s="97">
        <f t="shared" si="32"/>
        <v>4</v>
      </c>
      <c r="R53" s="115">
        <v>2019</v>
      </c>
      <c r="S53" s="97">
        <f t="shared" si="33"/>
        <v>8</v>
      </c>
      <c r="U53" s="470">
        <f t="shared" si="23"/>
        <v>9121</v>
      </c>
      <c r="V53" s="470">
        <f t="shared" si="24"/>
        <v>21</v>
      </c>
      <c r="W53" s="470">
        <f t="shared" si="25"/>
        <v>21</v>
      </c>
    </row>
    <row r="54" spans="2:23">
      <c r="B54" s="97" t="s">
        <v>22</v>
      </c>
      <c r="C54" s="305">
        <v>45838</v>
      </c>
      <c r="D54" s="115">
        <v>1005567</v>
      </c>
      <c r="E54" s="97">
        <f t="shared" si="26"/>
        <v>4800</v>
      </c>
      <c r="F54" s="115">
        <v>213474</v>
      </c>
      <c r="G54" s="97">
        <f t="shared" si="27"/>
        <v>1499</v>
      </c>
      <c r="H54" s="115">
        <v>336</v>
      </c>
      <c r="I54" s="97">
        <f t="shared" si="28"/>
        <v>41</v>
      </c>
      <c r="J54" s="125">
        <v>118</v>
      </c>
      <c r="K54" s="97">
        <f t="shared" si="29"/>
        <v>10</v>
      </c>
      <c r="L54" s="115">
        <v>226</v>
      </c>
      <c r="M54" s="97">
        <f t="shared" si="30"/>
        <v>0</v>
      </c>
      <c r="N54" s="115">
        <v>2203</v>
      </c>
      <c r="O54" s="97">
        <f t="shared" si="31"/>
        <v>5</v>
      </c>
      <c r="P54" s="115">
        <v>780</v>
      </c>
      <c r="Q54" s="97">
        <f t="shared" si="32"/>
        <v>2</v>
      </c>
      <c r="R54" s="115">
        <v>2022</v>
      </c>
      <c r="S54" s="97">
        <f t="shared" si="33"/>
        <v>3</v>
      </c>
      <c r="U54" s="470">
        <f t="shared" si="23"/>
        <v>6299</v>
      </c>
      <c r="V54" s="470">
        <f t="shared" si="24"/>
        <v>10</v>
      </c>
      <c r="W54" s="470">
        <f t="shared" si="25"/>
        <v>10</v>
      </c>
    </row>
    <row r="55" spans="2:23">
      <c r="B55" s="97" t="s">
        <v>23</v>
      </c>
      <c r="C55" s="479">
        <v>45874</v>
      </c>
      <c r="D55" s="115">
        <v>1010173</v>
      </c>
      <c r="E55" s="97">
        <f t="shared" si="26"/>
        <v>4606</v>
      </c>
      <c r="F55" s="115">
        <v>214856</v>
      </c>
      <c r="G55" s="97">
        <f t="shared" si="27"/>
        <v>1382</v>
      </c>
      <c r="H55" s="115">
        <v>352</v>
      </c>
      <c r="I55" s="97">
        <f t="shared" si="28"/>
        <v>16</v>
      </c>
      <c r="J55" s="125">
        <v>134</v>
      </c>
      <c r="K55" s="97">
        <f t="shared" si="29"/>
        <v>16</v>
      </c>
      <c r="L55" s="115">
        <v>226</v>
      </c>
      <c r="M55" s="97">
        <f t="shared" si="30"/>
        <v>0</v>
      </c>
      <c r="N55" s="115">
        <v>2205</v>
      </c>
      <c r="O55" s="97">
        <f t="shared" si="31"/>
        <v>2</v>
      </c>
      <c r="P55" s="115">
        <v>782</v>
      </c>
      <c r="Q55" s="97">
        <f t="shared" si="32"/>
        <v>2</v>
      </c>
      <c r="R55" s="115">
        <v>2024</v>
      </c>
      <c r="S55" s="97">
        <f t="shared" si="33"/>
        <v>2</v>
      </c>
      <c r="U55" s="470">
        <f t="shared" si="23"/>
        <v>5988</v>
      </c>
      <c r="V55" s="470">
        <f t="shared" si="24"/>
        <v>6</v>
      </c>
      <c r="W55" s="470">
        <f t="shared" si="25"/>
        <v>16</v>
      </c>
    </row>
    <row r="56" spans="2:23">
      <c r="B56" s="97" t="s">
        <v>24</v>
      </c>
      <c r="C56" s="114"/>
      <c r="D56" s="115">
        <v>1015095</v>
      </c>
      <c r="E56" s="97">
        <f t="shared" si="26"/>
        <v>4922</v>
      </c>
      <c r="F56" s="115">
        <v>216263</v>
      </c>
      <c r="G56" s="97">
        <f t="shared" si="27"/>
        <v>1407</v>
      </c>
      <c r="H56" s="115">
        <v>390</v>
      </c>
      <c r="I56" s="97">
        <f t="shared" si="28"/>
        <v>38</v>
      </c>
      <c r="J56" s="125">
        <v>150</v>
      </c>
      <c r="K56" s="97">
        <f t="shared" si="29"/>
        <v>16</v>
      </c>
      <c r="L56" s="115">
        <v>226</v>
      </c>
      <c r="M56" s="97">
        <f t="shared" si="30"/>
        <v>0</v>
      </c>
      <c r="N56" s="115">
        <v>2209</v>
      </c>
      <c r="O56" s="97">
        <f t="shared" si="31"/>
        <v>4</v>
      </c>
      <c r="P56" s="115">
        <v>783</v>
      </c>
      <c r="Q56" s="97">
        <f t="shared" si="32"/>
        <v>1</v>
      </c>
      <c r="R56" s="115">
        <v>2027</v>
      </c>
      <c r="S56" s="97">
        <f t="shared" si="33"/>
        <v>3</v>
      </c>
      <c r="U56" s="470">
        <f t="shared" si="23"/>
        <v>6329</v>
      </c>
      <c r="V56" s="470">
        <f t="shared" si="24"/>
        <v>8</v>
      </c>
      <c r="W56" s="470">
        <f t="shared" si="25"/>
        <v>16</v>
      </c>
    </row>
    <row r="57" spans="2:23">
      <c r="B57" s="97" t="s">
        <v>25</v>
      </c>
      <c r="C57" s="479">
        <v>45931</v>
      </c>
      <c r="D57" s="115">
        <v>1021759</v>
      </c>
      <c r="E57" s="97">
        <f t="shared" si="26"/>
        <v>6664</v>
      </c>
      <c r="F57" s="115">
        <v>218281</v>
      </c>
      <c r="G57" s="97">
        <f t="shared" si="27"/>
        <v>2018</v>
      </c>
      <c r="H57" s="115">
        <v>447</v>
      </c>
      <c r="I57" s="97">
        <f t="shared" si="28"/>
        <v>57</v>
      </c>
      <c r="J57" s="125">
        <v>167</v>
      </c>
      <c r="K57" s="97">
        <f t="shared" si="29"/>
        <v>17</v>
      </c>
      <c r="L57" s="115">
        <v>226</v>
      </c>
      <c r="M57" s="97">
        <f t="shared" si="30"/>
        <v>0</v>
      </c>
      <c r="N57" s="115">
        <v>2214</v>
      </c>
      <c r="O57" s="97">
        <f t="shared" si="31"/>
        <v>5</v>
      </c>
      <c r="P57" s="115">
        <v>785</v>
      </c>
      <c r="Q57" s="97">
        <f t="shared" si="32"/>
        <v>2</v>
      </c>
      <c r="R57" s="115">
        <v>2030</v>
      </c>
      <c r="S57" s="97">
        <f t="shared" si="33"/>
        <v>3</v>
      </c>
      <c r="U57" s="470">
        <f t="shared" si="23"/>
        <v>8682</v>
      </c>
      <c r="V57" s="470">
        <f t="shared" si="24"/>
        <v>10</v>
      </c>
      <c r="W57" s="470">
        <f t="shared" si="25"/>
        <v>17</v>
      </c>
    </row>
    <row r="58" spans="2:23">
      <c r="B58" s="97" t="s">
        <v>26</v>
      </c>
      <c r="C58" s="305">
        <v>45964</v>
      </c>
      <c r="D58" s="115">
        <v>1029475</v>
      </c>
      <c r="E58" s="97">
        <f t="shared" si="26"/>
        <v>7716</v>
      </c>
      <c r="F58" s="115">
        <v>220461</v>
      </c>
      <c r="G58" s="97">
        <f t="shared" si="27"/>
        <v>2180</v>
      </c>
      <c r="H58" s="115">
        <v>492</v>
      </c>
      <c r="I58" s="97">
        <f t="shared" si="28"/>
        <v>45</v>
      </c>
      <c r="J58" s="125">
        <v>182</v>
      </c>
      <c r="K58" s="97">
        <f t="shared" si="29"/>
        <v>15</v>
      </c>
      <c r="L58" s="115">
        <v>226</v>
      </c>
      <c r="M58" s="97">
        <f t="shared" si="30"/>
        <v>0</v>
      </c>
      <c r="N58" s="115">
        <v>2233</v>
      </c>
      <c r="O58" s="97">
        <f t="shared" si="31"/>
        <v>19</v>
      </c>
      <c r="P58" s="115">
        <v>795</v>
      </c>
      <c r="Q58" s="97">
        <f t="shared" si="32"/>
        <v>10</v>
      </c>
      <c r="R58" s="115">
        <v>2041</v>
      </c>
      <c r="S58" s="97">
        <f t="shared" si="33"/>
        <v>11</v>
      </c>
      <c r="U58" s="470">
        <f t="shared" si="23"/>
        <v>9896</v>
      </c>
      <c r="V58" s="470">
        <f t="shared" si="24"/>
        <v>40</v>
      </c>
      <c r="W58" s="470">
        <f t="shared" si="25"/>
        <v>15</v>
      </c>
    </row>
    <row r="59" spans="2:23">
      <c r="B59" s="97" t="s">
        <v>27</v>
      </c>
      <c r="C59" s="114"/>
      <c r="D59" s="115"/>
      <c r="E59" s="97">
        <f t="shared" si="26"/>
        <v>0</v>
      </c>
      <c r="F59" s="115"/>
      <c r="G59" s="97">
        <f t="shared" si="27"/>
        <v>0</v>
      </c>
      <c r="H59" s="115"/>
      <c r="I59" s="97">
        <f>IF(H59-H58&lt;0,0,H59-H58)</f>
        <v>0</v>
      </c>
      <c r="J59" s="125"/>
      <c r="K59" s="97">
        <f t="shared" si="29"/>
        <v>0</v>
      </c>
      <c r="L59" s="115"/>
      <c r="M59" s="97">
        <f t="shared" si="30"/>
        <v>0</v>
      </c>
      <c r="N59" s="115"/>
      <c r="O59" s="97">
        <f t="shared" si="31"/>
        <v>0</v>
      </c>
      <c r="P59" s="115"/>
      <c r="Q59" s="97">
        <f t="shared" si="32"/>
        <v>0</v>
      </c>
      <c r="R59" s="115"/>
      <c r="S59" s="97">
        <f t="shared" si="33"/>
        <v>0</v>
      </c>
      <c r="U59" s="470">
        <f t="shared" si="23"/>
        <v>0</v>
      </c>
      <c r="V59" s="470">
        <f t="shared" si="24"/>
        <v>0</v>
      </c>
      <c r="W59" s="470">
        <f t="shared" si="25"/>
        <v>0</v>
      </c>
    </row>
    <row r="60" spans="2:23">
      <c r="B60" s="112"/>
      <c r="C60" s="112"/>
      <c r="D60" s="112"/>
      <c r="E60" s="113"/>
      <c r="F60" s="112"/>
      <c r="G60" s="113"/>
      <c r="H60" s="112"/>
      <c r="I60" s="113"/>
      <c r="J60" s="112"/>
      <c r="K60" s="113"/>
      <c r="L60" s="112"/>
      <c r="M60" s="113"/>
      <c r="N60" s="112"/>
      <c r="O60" s="113"/>
      <c r="P60" s="112"/>
      <c r="Q60" s="113"/>
      <c r="R60" s="112"/>
      <c r="S60" s="113"/>
      <c r="U60" s="470">
        <f t="shared" si="23"/>
        <v>0</v>
      </c>
      <c r="V60" s="470">
        <f t="shared" si="24"/>
        <v>0</v>
      </c>
      <c r="W60" s="470">
        <f t="shared" si="25"/>
        <v>0</v>
      </c>
    </row>
    <row r="61" spans="2:23">
      <c r="B61" s="111">
        <v>2026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U61" s="470">
        <f t="shared" ref="U61:U73" si="34">E61+G61</f>
        <v>0</v>
      </c>
      <c r="V61" s="470">
        <f t="shared" ref="V61:V73" si="35">S61+Q61+O61</f>
        <v>0</v>
      </c>
      <c r="W61" s="470">
        <f t="shared" ref="W61:W73" si="36">+M61+K61</f>
        <v>0</v>
      </c>
    </row>
    <row r="62" spans="2:23">
      <c r="B62" s="97" t="s">
        <v>16</v>
      </c>
      <c r="C62" s="114"/>
      <c r="D62" s="115"/>
      <c r="E62" s="97">
        <f>IF(D62-D59&lt;0,0,D62-D59)</f>
        <v>0</v>
      </c>
      <c r="F62" s="115"/>
      <c r="G62" s="97">
        <f>IF(F62-F59&lt;0,0,F62-F59)</f>
        <v>0</v>
      </c>
      <c r="H62" s="115"/>
      <c r="I62" s="97">
        <f>IF(H62-H59&lt;0,0,H62-H59)</f>
        <v>0</v>
      </c>
      <c r="J62" s="125"/>
      <c r="K62" s="97">
        <f>IF(J62-J59&lt;0,0,J62-J59)</f>
        <v>0</v>
      </c>
      <c r="L62" s="115"/>
      <c r="M62" s="97">
        <f>IF(L62-L59&lt;0,0,L62-L59)</f>
        <v>0</v>
      </c>
      <c r="N62" s="115"/>
      <c r="O62" s="97">
        <f>IF(N62-N59&lt;0,0,N62-N59)</f>
        <v>0</v>
      </c>
      <c r="P62" s="115"/>
      <c r="Q62" s="97">
        <f>IF(P62-P59&lt;0,0,P62-P59)</f>
        <v>0</v>
      </c>
      <c r="R62" s="115"/>
      <c r="S62" s="97">
        <f>IF(R62-R59&lt;0,0,R62-R59)</f>
        <v>0</v>
      </c>
      <c r="U62" s="470">
        <f t="shared" si="34"/>
        <v>0</v>
      </c>
      <c r="V62" s="470">
        <f t="shared" si="35"/>
        <v>0</v>
      </c>
      <c r="W62" s="470">
        <f t="shared" si="36"/>
        <v>0</v>
      </c>
    </row>
    <row r="63" spans="2:23">
      <c r="B63" s="97" t="s">
        <v>17</v>
      </c>
      <c r="C63" s="114"/>
      <c r="D63" s="115"/>
      <c r="E63" s="97">
        <f t="shared" ref="E63:E73" si="37">IF(D64-D63&lt;0,0,D64-D63)</f>
        <v>0</v>
      </c>
      <c r="F63" s="115"/>
      <c r="G63" s="97">
        <f>IF(F64-F63&lt;0,0,F64-F63)</f>
        <v>0</v>
      </c>
      <c r="H63" s="115"/>
      <c r="I63" s="97">
        <f>IF(H63-H62&lt;0,0,H63-H62)</f>
        <v>0</v>
      </c>
      <c r="J63" s="125"/>
      <c r="K63" s="97">
        <f>IF(J63-J62&lt;0,0,J63-J62)</f>
        <v>0</v>
      </c>
      <c r="L63" s="115"/>
      <c r="M63" s="97">
        <f>IF(L63-L62&lt;0,0,L63-L62)</f>
        <v>0</v>
      </c>
      <c r="N63" s="115"/>
      <c r="O63" s="97">
        <f>IF(N63-N62&lt;0,0,N63-N62)</f>
        <v>0</v>
      </c>
      <c r="P63" s="115"/>
      <c r="Q63" s="97">
        <f>IF(P63-P62&lt;0,0,P63-P62)</f>
        <v>0</v>
      </c>
      <c r="R63" s="115"/>
      <c r="S63" s="97">
        <f>IF(R63-R62&lt;0,0,R63-R62)</f>
        <v>0</v>
      </c>
      <c r="U63" s="470">
        <f t="shared" si="34"/>
        <v>0</v>
      </c>
      <c r="V63" s="470">
        <f t="shared" si="35"/>
        <v>0</v>
      </c>
      <c r="W63" s="470">
        <f t="shared" si="36"/>
        <v>0</v>
      </c>
    </row>
    <row r="64" spans="2:23">
      <c r="B64" s="97" t="s">
        <v>18</v>
      </c>
      <c r="C64" s="114"/>
      <c r="D64" s="115"/>
      <c r="E64" s="97">
        <f t="shared" si="37"/>
        <v>0</v>
      </c>
      <c r="F64" s="115"/>
      <c r="G64" s="97">
        <f t="shared" ref="G63:G73" si="38">IF(F65-F64&lt;0,0,F65-F64)</f>
        <v>0</v>
      </c>
      <c r="H64" s="115"/>
      <c r="I64" s="97">
        <f t="shared" ref="I64:I73" si="39">IF(H64-H63&lt;0,0,H64-H63)</f>
        <v>0</v>
      </c>
      <c r="J64" s="125"/>
      <c r="K64" s="97">
        <f t="shared" ref="K64:K73" si="40">IF(J64-J63&lt;0,0,J64-J63)</f>
        <v>0</v>
      </c>
      <c r="L64" s="115"/>
      <c r="M64" s="97">
        <f t="shared" ref="M64:M73" si="41">IF(L64-L63&lt;0,0,L64-L63)</f>
        <v>0</v>
      </c>
      <c r="N64" s="115"/>
      <c r="O64" s="97">
        <f t="shared" ref="O64:O73" si="42">IF(N64-N63&lt;0,0,N64-N63)</f>
        <v>0</v>
      </c>
      <c r="P64" s="115"/>
      <c r="Q64" s="97">
        <f t="shared" ref="Q64:Q73" si="43">IF(P64-P63&lt;0,0,P64-P63)</f>
        <v>0</v>
      </c>
      <c r="R64" s="115"/>
      <c r="S64" s="97">
        <f t="shared" ref="S64:S73" si="44">IF(R64-R63&lt;0,0,R64-R63)</f>
        <v>0</v>
      </c>
      <c r="U64" s="470">
        <f t="shared" si="34"/>
        <v>0</v>
      </c>
      <c r="V64" s="470">
        <f t="shared" si="35"/>
        <v>0</v>
      </c>
      <c r="W64" s="470">
        <f t="shared" si="36"/>
        <v>0</v>
      </c>
    </row>
    <row r="65" spans="2:23">
      <c r="B65" s="97" t="s">
        <v>19</v>
      </c>
      <c r="C65" s="114"/>
      <c r="D65" s="115"/>
      <c r="E65" s="97">
        <f t="shared" si="37"/>
        <v>0</v>
      </c>
      <c r="F65" s="115"/>
      <c r="G65" s="97">
        <f t="shared" si="38"/>
        <v>0</v>
      </c>
      <c r="H65" s="115"/>
      <c r="I65" s="97">
        <f t="shared" si="39"/>
        <v>0</v>
      </c>
      <c r="J65" s="125"/>
      <c r="K65" s="97">
        <f t="shared" si="40"/>
        <v>0</v>
      </c>
      <c r="L65" s="115"/>
      <c r="M65" s="97">
        <f t="shared" si="41"/>
        <v>0</v>
      </c>
      <c r="N65" s="115"/>
      <c r="O65" s="97">
        <f t="shared" si="42"/>
        <v>0</v>
      </c>
      <c r="P65" s="115"/>
      <c r="Q65" s="97">
        <f t="shared" si="43"/>
        <v>0</v>
      </c>
      <c r="R65" s="115"/>
      <c r="S65" s="97">
        <f t="shared" si="44"/>
        <v>0</v>
      </c>
      <c r="U65" s="470">
        <f t="shared" si="34"/>
        <v>0</v>
      </c>
      <c r="V65" s="470">
        <f t="shared" si="35"/>
        <v>0</v>
      </c>
      <c r="W65" s="470">
        <f t="shared" si="36"/>
        <v>0</v>
      </c>
    </row>
    <row r="66" spans="2:23">
      <c r="B66" s="97" t="s">
        <v>20</v>
      </c>
      <c r="C66" s="305"/>
      <c r="D66" s="115"/>
      <c r="E66" s="97">
        <f t="shared" si="37"/>
        <v>0</v>
      </c>
      <c r="F66" s="115"/>
      <c r="G66" s="97">
        <f t="shared" si="38"/>
        <v>0</v>
      </c>
      <c r="H66" s="115"/>
      <c r="I66" s="97">
        <f t="shared" si="39"/>
        <v>0</v>
      </c>
      <c r="J66" s="125"/>
      <c r="K66" s="97">
        <f t="shared" si="40"/>
        <v>0</v>
      </c>
      <c r="L66" s="115"/>
      <c r="M66" s="97">
        <f t="shared" si="41"/>
        <v>0</v>
      </c>
      <c r="N66" s="115"/>
      <c r="O66" s="97">
        <f t="shared" si="42"/>
        <v>0</v>
      </c>
      <c r="P66" s="115"/>
      <c r="Q66" s="97">
        <f t="shared" si="43"/>
        <v>0</v>
      </c>
      <c r="R66" s="115"/>
      <c r="S66" s="97">
        <f t="shared" si="44"/>
        <v>0</v>
      </c>
      <c r="U66" s="470">
        <f t="shared" si="34"/>
        <v>0</v>
      </c>
      <c r="V66" s="470">
        <f t="shared" si="35"/>
        <v>0</v>
      </c>
      <c r="W66" s="470">
        <f t="shared" si="36"/>
        <v>0</v>
      </c>
    </row>
    <row r="67" spans="2:23">
      <c r="B67" s="97" t="s">
        <v>21</v>
      </c>
      <c r="C67" s="114"/>
      <c r="D67" s="115"/>
      <c r="E67" s="97">
        <f t="shared" si="37"/>
        <v>0</v>
      </c>
      <c r="F67" s="115"/>
      <c r="G67" s="97">
        <f t="shared" si="38"/>
        <v>0</v>
      </c>
      <c r="H67" s="115"/>
      <c r="I67" s="97">
        <f t="shared" si="39"/>
        <v>0</v>
      </c>
      <c r="J67" s="125"/>
      <c r="K67" s="97">
        <f t="shared" si="40"/>
        <v>0</v>
      </c>
      <c r="L67" s="115"/>
      <c r="M67" s="97">
        <f t="shared" si="41"/>
        <v>0</v>
      </c>
      <c r="N67" s="115"/>
      <c r="O67" s="97">
        <f t="shared" si="42"/>
        <v>0</v>
      </c>
      <c r="P67" s="115"/>
      <c r="Q67" s="97">
        <f t="shared" si="43"/>
        <v>0</v>
      </c>
      <c r="R67" s="115"/>
      <c r="S67" s="97">
        <f t="shared" si="44"/>
        <v>0</v>
      </c>
      <c r="U67" s="470">
        <f t="shared" si="34"/>
        <v>0</v>
      </c>
      <c r="V67" s="470">
        <f t="shared" si="35"/>
        <v>0</v>
      </c>
      <c r="W67" s="470">
        <f t="shared" si="36"/>
        <v>0</v>
      </c>
    </row>
    <row r="68" spans="2:23" ht="15" customHeight="1">
      <c r="B68" s="97" t="s">
        <v>22</v>
      </c>
      <c r="C68" s="114"/>
      <c r="D68" s="115"/>
      <c r="E68" s="97">
        <f t="shared" si="37"/>
        <v>0</v>
      </c>
      <c r="F68" s="115"/>
      <c r="G68" s="97">
        <f t="shared" si="38"/>
        <v>0</v>
      </c>
      <c r="H68" s="115"/>
      <c r="I68" s="97">
        <f t="shared" si="39"/>
        <v>0</v>
      </c>
      <c r="J68" s="125"/>
      <c r="K68" s="97">
        <f t="shared" si="40"/>
        <v>0</v>
      </c>
      <c r="L68" s="115"/>
      <c r="M68" s="97">
        <f t="shared" si="41"/>
        <v>0</v>
      </c>
      <c r="N68" s="115"/>
      <c r="O68" s="97">
        <f t="shared" si="42"/>
        <v>0</v>
      </c>
      <c r="P68" s="115"/>
      <c r="Q68" s="97">
        <f t="shared" si="43"/>
        <v>0</v>
      </c>
      <c r="R68" s="115"/>
      <c r="S68" s="97">
        <f t="shared" si="44"/>
        <v>0</v>
      </c>
      <c r="U68" s="470">
        <f t="shared" si="34"/>
        <v>0</v>
      </c>
      <c r="V68" s="470">
        <f t="shared" si="35"/>
        <v>0</v>
      </c>
      <c r="W68" s="470">
        <f t="shared" si="36"/>
        <v>0</v>
      </c>
    </row>
    <row r="69" spans="2:23" ht="15" customHeight="1">
      <c r="B69" s="97" t="s">
        <v>23</v>
      </c>
      <c r="C69" s="114"/>
      <c r="D69" s="115"/>
      <c r="E69" s="97">
        <f t="shared" si="37"/>
        <v>0</v>
      </c>
      <c r="F69" s="115"/>
      <c r="G69" s="97">
        <f t="shared" si="38"/>
        <v>0</v>
      </c>
      <c r="H69" s="115"/>
      <c r="I69" s="97">
        <f t="shared" si="39"/>
        <v>0</v>
      </c>
      <c r="J69" s="125"/>
      <c r="K69" s="97">
        <f t="shared" si="40"/>
        <v>0</v>
      </c>
      <c r="L69" s="115"/>
      <c r="M69" s="97">
        <f t="shared" si="41"/>
        <v>0</v>
      </c>
      <c r="N69" s="115"/>
      <c r="O69" s="97">
        <f t="shared" si="42"/>
        <v>0</v>
      </c>
      <c r="P69" s="115"/>
      <c r="Q69" s="97">
        <f t="shared" si="43"/>
        <v>0</v>
      </c>
      <c r="R69" s="115"/>
      <c r="S69" s="97">
        <f t="shared" si="44"/>
        <v>0</v>
      </c>
      <c r="U69" s="470">
        <f t="shared" si="34"/>
        <v>0</v>
      </c>
      <c r="V69" s="470">
        <f t="shared" si="35"/>
        <v>0</v>
      </c>
      <c r="W69" s="470">
        <f t="shared" si="36"/>
        <v>0</v>
      </c>
    </row>
    <row r="70" spans="2:23" ht="15" customHeight="1">
      <c r="B70" s="97" t="s">
        <v>24</v>
      </c>
      <c r="C70" s="114"/>
      <c r="D70" s="115"/>
      <c r="E70" s="97">
        <f t="shared" si="37"/>
        <v>0</v>
      </c>
      <c r="F70" s="115"/>
      <c r="G70" s="97">
        <f t="shared" si="38"/>
        <v>0</v>
      </c>
      <c r="H70" s="115"/>
      <c r="I70" s="97">
        <f t="shared" si="39"/>
        <v>0</v>
      </c>
      <c r="J70" s="125"/>
      <c r="K70" s="97">
        <f t="shared" si="40"/>
        <v>0</v>
      </c>
      <c r="L70" s="115"/>
      <c r="M70" s="97">
        <f t="shared" si="41"/>
        <v>0</v>
      </c>
      <c r="N70" s="115"/>
      <c r="O70" s="97">
        <f t="shared" si="42"/>
        <v>0</v>
      </c>
      <c r="P70" s="115"/>
      <c r="Q70" s="97">
        <f t="shared" si="43"/>
        <v>0</v>
      </c>
      <c r="R70" s="115"/>
      <c r="S70" s="97">
        <f t="shared" si="44"/>
        <v>0</v>
      </c>
      <c r="U70" s="470">
        <f t="shared" si="34"/>
        <v>0</v>
      </c>
      <c r="V70" s="470">
        <f t="shared" si="35"/>
        <v>0</v>
      </c>
      <c r="W70" s="470">
        <f t="shared" si="36"/>
        <v>0</v>
      </c>
    </row>
    <row r="71" spans="2:23" ht="15" customHeight="1">
      <c r="B71" s="97" t="s">
        <v>25</v>
      </c>
      <c r="C71" s="114"/>
      <c r="D71" s="115"/>
      <c r="E71" s="97">
        <f t="shared" si="37"/>
        <v>0</v>
      </c>
      <c r="F71" s="115"/>
      <c r="G71" s="97">
        <f t="shared" si="38"/>
        <v>0</v>
      </c>
      <c r="H71" s="115"/>
      <c r="I71" s="97">
        <f t="shared" si="39"/>
        <v>0</v>
      </c>
      <c r="J71" s="125"/>
      <c r="K71" s="97">
        <f t="shared" si="40"/>
        <v>0</v>
      </c>
      <c r="L71" s="115"/>
      <c r="M71" s="97">
        <f t="shared" si="41"/>
        <v>0</v>
      </c>
      <c r="N71" s="115"/>
      <c r="O71" s="97">
        <f t="shared" si="42"/>
        <v>0</v>
      </c>
      <c r="P71" s="115"/>
      <c r="Q71" s="97">
        <f t="shared" si="43"/>
        <v>0</v>
      </c>
      <c r="R71" s="115"/>
      <c r="S71" s="97">
        <f t="shared" si="44"/>
        <v>0</v>
      </c>
      <c r="U71" s="470">
        <f t="shared" si="34"/>
        <v>0</v>
      </c>
      <c r="V71" s="470">
        <f t="shared" si="35"/>
        <v>0</v>
      </c>
      <c r="W71" s="470">
        <f t="shared" si="36"/>
        <v>0</v>
      </c>
    </row>
    <row r="72" spans="2:23" ht="15" customHeight="1">
      <c r="B72" s="97" t="s">
        <v>26</v>
      </c>
      <c r="C72" s="114"/>
      <c r="D72" s="115"/>
      <c r="E72" s="97">
        <f t="shared" si="37"/>
        <v>0</v>
      </c>
      <c r="F72" s="115"/>
      <c r="G72" s="97">
        <f t="shared" si="38"/>
        <v>0</v>
      </c>
      <c r="H72" s="115"/>
      <c r="I72" s="97">
        <f t="shared" si="39"/>
        <v>0</v>
      </c>
      <c r="J72" s="125"/>
      <c r="K72" s="97">
        <f t="shared" si="40"/>
        <v>0</v>
      </c>
      <c r="L72" s="115"/>
      <c r="M72" s="97">
        <f t="shared" si="41"/>
        <v>0</v>
      </c>
      <c r="N72" s="115"/>
      <c r="O72" s="97">
        <f t="shared" si="42"/>
        <v>0</v>
      </c>
      <c r="P72" s="115"/>
      <c r="Q72" s="97">
        <f t="shared" si="43"/>
        <v>0</v>
      </c>
      <c r="R72" s="115"/>
      <c r="S72" s="97">
        <f t="shared" si="44"/>
        <v>0</v>
      </c>
      <c r="U72" s="470">
        <f t="shared" si="34"/>
        <v>0</v>
      </c>
      <c r="V72" s="470">
        <f t="shared" si="35"/>
        <v>0</v>
      </c>
      <c r="W72" s="470">
        <f t="shared" si="36"/>
        <v>0</v>
      </c>
    </row>
    <row r="73" spans="2:23" ht="15" customHeight="1">
      <c r="B73" s="97" t="s">
        <v>27</v>
      </c>
      <c r="C73" s="114"/>
      <c r="D73" s="115"/>
      <c r="E73" s="97">
        <f>IF(D76-D73&lt;0,0,D76-D73)</f>
        <v>0</v>
      </c>
      <c r="F73" s="115"/>
      <c r="G73" s="97">
        <f>IF(F76-F73&lt;0,0,F76-F73)</f>
        <v>0</v>
      </c>
      <c r="H73" s="115"/>
      <c r="I73" s="97">
        <f t="shared" si="39"/>
        <v>0</v>
      </c>
      <c r="J73" s="125"/>
      <c r="K73" s="97">
        <f t="shared" si="40"/>
        <v>0</v>
      </c>
      <c r="L73" s="115"/>
      <c r="M73" s="97">
        <f t="shared" si="41"/>
        <v>0</v>
      </c>
      <c r="N73" s="115"/>
      <c r="O73" s="97">
        <f t="shared" si="42"/>
        <v>0</v>
      </c>
      <c r="P73" s="115"/>
      <c r="Q73" s="97">
        <f t="shared" si="43"/>
        <v>0</v>
      </c>
      <c r="R73" s="115"/>
      <c r="S73" s="97">
        <f t="shared" si="44"/>
        <v>0</v>
      </c>
      <c r="U73" s="470">
        <f t="shared" si="34"/>
        <v>0</v>
      </c>
      <c r="V73" s="470">
        <f t="shared" si="35"/>
        <v>0</v>
      </c>
      <c r="W73" s="470">
        <f t="shared" si="36"/>
        <v>0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80B8-BB39-415A-A7C3-CB0512EB2E48}">
  <dimension ref="A1:I213"/>
  <sheetViews>
    <sheetView tabSelected="1" workbookViewId="0">
      <pane ySplit="13" topLeftCell="A97" activePane="bottomLeft" state="frozen"/>
      <selection pane="bottomLeft" activeCell="A108" sqref="A108"/>
    </sheetView>
  </sheetViews>
  <sheetFormatPr defaultColWidth="8.85546875" defaultRowHeight="12.75"/>
  <cols>
    <col min="1" max="1" width="10.42578125" style="102" customWidth="1"/>
    <col min="2" max="2" width="8.28515625" style="102" customWidth="1"/>
    <col min="3" max="3" width="52.28515625" style="103" customWidth="1"/>
    <col min="4" max="4" width="9.28515625" style="116" customWidth="1"/>
    <col min="5" max="5" width="9.28515625" style="103" customWidth="1"/>
    <col min="6" max="6" width="11.5703125" style="102" customWidth="1"/>
    <col min="7" max="8" width="9.140625" style="103"/>
    <col min="9" max="9" width="42.5703125" style="103" customWidth="1"/>
    <col min="10" max="16384" width="8.85546875" style="103"/>
  </cols>
  <sheetData>
    <row r="1" spans="1:6">
      <c r="A1" s="333"/>
      <c r="B1" s="334" t="s">
        <v>30</v>
      </c>
      <c r="C1" s="335"/>
      <c r="D1" s="336"/>
    </row>
    <row r="2" spans="1:6">
      <c r="A2" s="291" t="s">
        <v>31</v>
      </c>
      <c r="B2" s="334" t="s">
        <v>32</v>
      </c>
      <c r="C2" s="335"/>
      <c r="D2" s="336"/>
    </row>
    <row r="3" spans="1:6">
      <c r="A3" s="291" t="s">
        <v>33</v>
      </c>
      <c r="B3" s="332" t="s">
        <v>34</v>
      </c>
      <c r="C3" s="342"/>
      <c r="D3" s="343"/>
    </row>
    <row r="4" spans="1:6">
      <c r="A4" s="291" t="s">
        <v>35</v>
      </c>
      <c r="B4" s="337" t="s">
        <v>36</v>
      </c>
      <c r="C4" s="333"/>
      <c r="D4" s="338"/>
    </row>
    <row r="5" spans="1:6">
      <c r="A5" s="291" t="s">
        <v>37</v>
      </c>
      <c r="B5" s="334" t="s">
        <v>38</v>
      </c>
      <c r="C5" s="335"/>
      <c r="D5" s="336"/>
    </row>
    <row r="6" spans="1:6">
      <c r="A6" s="291" t="s">
        <v>39</v>
      </c>
      <c r="B6" s="334" t="s">
        <v>40</v>
      </c>
      <c r="C6" s="335"/>
      <c r="D6" s="336"/>
    </row>
    <row r="7" spans="1:6">
      <c r="A7" s="291" t="s">
        <v>41</v>
      </c>
      <c r="B7" s="334" t="s">
        <v>42</v>
      </c>
      <c r="C7" s="335"/>
      <c r="D7" s="336"/>
    </row>
    <row r="8" spans="1:6">
      <c r="A8" s="291" t="s">
        <v>43</v>
      </c>
      <c r="B8" s="341" t="s">
        <v>44</v>
      </c>
      <c r="C8" s="342"/>
      <c r="D8" s="343"/>
    </row>
    <row r="9" spans="1:6">
      <c r="A9" s="105"/>
      <c r="B9" s="348"/>
      <c r="C9" s="339"/>
      <c r="D9" s="340"/>
    </row>
    <row r="10" spans="1:6" ht="18.75">
      <c r="C10" s="312" t="s">
        <v>45</v>
      </c>
    </row>
    <row r="11" spans="1:6">
      <c r="A11" s="313" t="s">
        <v>15</v>
      </c>
      <c r="B11" s="313" t="s">
        <v>46</v>
      </c>
      <c r="C11" s="314" t="s">
        <v>47</v>
      </c>
      <c r="D11" s="315" t="s">
        <v>48</v>
      </c>
      <c r="E11" s="314" t="s">
        <v>49</v>
      </c>
      <c r="F11" s="313" t="s">
        <v>50</v>
      </c>
    </row>
    <row r="12" spans="1:6">
      <c r="A12" s="316"/>
      <c r="B12" s="316"/>
      <c r="C12" s="317"/>
      <c r="D12" s="318" t="s">
        <v>51</v>
      </c>
      <c r="E12" s="317"/>
      <c r="F12" s="316" t="s">
        <v>52</v>
      </c>
    </row>
    <row r="13" spans="1:6">
      <c r="A13" s="560">
        <v>2024</v>
      </c>
      <c r="B13" s="561"/>
      <c r="C13" s="561"/>
      <c r="D13" s="561"/>
      <c r="E13" s="561"/>
      <c r="F13" s="562"/>
    </row>
    <row r="14" spans="1:6" ht="13.5">
      <c r="A14" s="298">
        <v>45317</v>
      </c>
      <c r="B14" s="306" t="s">
        <v>31</v>
      </c>
      <c r="C14" s="300" t="s">
        <v>53</v>
      </c>
      <c r="D14" s="299"/>
      <c r="E14" s="299"/>
      <c r="F14" s="306" t="s">
        <v>54</v>
      </c>
    </row>
    <row r="15" spans="1:6" ht="13.5">
      <c r="A15" s="298">
        <v>45321</v>
      </c>
      <c r="B15" s="306" t="s">
        <v>39</v>
      </c>
      <c r="C15" s="300" t="s">
        <v>55</v>
      </c>
      <c r="D15" s="299"/>
      <c r="E15" s="299"/>
      <c r="F15" s="306" t="s">
        <v>54</v>
      </c>
    </row>
    <row r="16" spans="1:6" ht="13.5">
      <c r="A16" s="307">
        <v>45321</v>
      </c>
      <c r="B16" s="330" t="s">
        <v>41</v>
      </c>
      <c r="C16" s="300" t="s">
        <v>53</v>
      </c>
      <c r="D16" s="331"/>
      <c r="E16" s="308"/>
      <c r="F16" s="330" t="s">
        <v>54</v>
      </c>
    </row>
    <row r="17" spans="1:6" ht="13.5">
      <c r="A17" s="298">
        <v>45321</v>
      </c>
      <c r="B17" s="306" t="s">
        <v>43</v>
      </c>
      <c r="C17" s="300" t="s">
        <v>55</v>
      </c>
      <c r="D17" s="323"/>
      <c r="E17" s="299"/>
      <c r="F17" s="306" t="s">
        <v>54</v>
      </c>
    </row>
    <row r="18" spans="1:6">
      <c r="A18" s="298">
        <v>45321</v>
      </c>
      <c r="B18" s="306" t="s">
        <v>37</v>
      </c>
      <c r="C18" s="299" t="s">
        <v>55</v>
      </c>
      <c r="D18" s="323"/>
      <c r="E18" s="299"/>
      <c r="F18" s="306" t="s">
        <v>54</v>
      </c>
    </row>
    <row r="19" spans="1:6" ht="13.5">
      <c r="A19" s="298">
        <v>45352</v>
      </c>
      <c r="B19" s="306" t="s">
        <v>31</v>
      </c>
      <c r="C19" s="300" t="s">
        <v>53</v>
      </c>
      <c r="D19" s="323"/>
      <c r="E19" s="299"/>
      <c r="F19" s="330" t="s">
        <v>54</v>
      </c>
    </row>
    <row r="20" spans="1:6" ht="13.5">
      <c r="A20" s="298">
        <v>45352</v>
      </c>
      <c r="B20" s="306" t="s">
        <v>33</v>
      </c>
      <c r="C20" s="300" t="s">
        <v>55</v>
      </c>
      <c r="D20" s="323"/>
      <c r="E20" s="299"/>
      <c r="F20" s="306" t="s">
        <v>54</v>
      </c>
    </row>
    <row r="21" spans="1:6">
      <c r="A21" s="326">
        <v>45352</v>
      </c>
      <c r="B21" s="327" t="s">
        <v>37</v>
      </c>
      <c r="C21" s="299" t="s">
        <v>55</v>
      </c>
      <c r="D21" s="329"/>
      <c r="E21" s="328"/>
      <c r="F21" s="306" t="s">
        <v>54</v>
      </c>
    </row>
    <row r="22" spans="1:6" ht="13.5">
      <c r="A22" s="320">
        <v>45352</v>
      </c>
      <c r="B22" s="306" t="s">
        <v>39</v>
      </c>
      <c r="C22" s="300" t="s">
        <v>53</v>
      </c>
      <c r="D22" s="322"/>
      <c r="E22" s="321"/>
      <c r="F22" s="330" t="s">
        <v>54</v>
      </c>
    </row>
    <row r="23" spans="1:6" ht="13.5">
      <c r="A23" s="298">
        <v>45352</v>
      </c>
      <c r="B23" s="330" t="s">
        <v>41</v>
      </c>
      <c r="C23" s="300" t="s">
        <v>55</v>
      </c>
      <c r="D23" s="311"/>
      <c r="E23" s="106"/>
      <c r="F23" s="306" t="s">
        <v>54</v>
      </c>
    </row>
    <row r="24" spans="1:6">
      <c r="A24" s="326">
        <v>45352</v>
      </c>
      <c r="B24" s="306" t="s">
        <v>43</v>
      </c>
      <c r="C24" s="299" t="s">
        <v>55</v>
      </c>
      <c r="D24" s="311"/>
      <c r="E24" s="106"/>
      <c r="F24" s="306" t="s">
        <v>54</v>
      </c>
    </row>
    <row r="25" spans="1:6">
      <c r="A25" s="104">
        <v>45386</v>
      </c>
      <c r="B25" s="306" t="s">
        <v>31</v>
      </c>
      <c r="C25" s="299" t="s">
        <v>55</v>
      </c>
      <c r="D25" s="311"/>
      <c r="E25" s="106"/>
      <c r="F25" s="330" t="s">
        <v>54</v>
      </c>
    </row>
    <row r="26" spans="1:6">
      <c r="A26" s="104">
        <v>45386</v>
      </c>
      <c r="B26" s="306" t="s">
        <v>35</v>
      </c>
      <c r="C26" s="299" t="s">
        <v>55</v>
      </c>
      <c r="D26" s="311"/>
      <c r="E26" s="106"/>
      <c r="F26" s="330" t="s">
        <v>54</v>
      </c>
    </row>
    <row r="27" spans="1:6" ht="13.5">
      <c r="A27" s="104">
        <v>45386</v>
      </c>
      <c r="B27" s="306" t="s">
        <v>33</v>
      </c>
      <c r="C27" s="300" t="s">
        <v>53</v>
      </c>
      <c r="D27" s="311"/>
      <c r="E27" s="106"/>
      <c r="F27" s="306" t="s">
        <v>54</v>
      </c>
    </row>
    <row r="28" spans="1:6" ht="13.5">
      <c r="A28" s="104">
        <v>45386</v>
      </c>
      <c r="B28" s="327" t="s">
        <v>37</v>
      </c>
      <c r="C28" s="300" t="s">
        <v>55</v>
      </c>
      <c r="D28" s="311"/>
      <c r="E28" s="106"/>
      <c r="F28" s="306" t="s">
        <v>54</v>
      </c>
    </row>
    <row r="29" spans="1:6">
      <c r="A29" s="104">
        <v>45386</v>
      </c>
      <c r="B29" s="306" t="s">
        <v>39</v>
      </c>
      <c r="C29" s="299" t="s">
        <v>55</v>
      </c>
      <c r="D29" s="311"/>
      <c r="E29" s="106"/>
      <c r="F29" s="330" t="s">
        <v>54</v>
      </c>
    </row>
    <row r="30" spans="1:6" ht="13.5">
      <c r="A30" s="104">
        <v>45386</v>
      </c>
      <c r="B30" s="330" t="s">
        <v>41</v>
      </c>
      <c r="C30" s="300" t="s">
        <v>53</v>
      </c>
      <c r="D30" s="311"/>
      <c r="E30" s="106"/>
      <c r="F30" s="306" t="s">
        <v>54</v>
      </c>
    </row>
    <row r="31" spans="1:6" ht="13.5">
      <c r="A31" s="104">
        <v>45386</v>
      </c>
      <c r="B31" s="306" t="s">
        <v>43</v>
      </c>
      <c r="C31" s="300" t="s">
        <v>55</v>
      </c>
      <c r="D31" s="311"/>
      <c r="E31" s="106"/>
      <c r="F31" s="306" t="s">
        <v>54</v>
      </c>
    </row>
    <row r="32" spans="1:6">
      <c r="A32" s="325" t="s">
        <v>19</v>
      </c>
      <c r="B32" s="349" t="s">
        <v>37</v>
      </c>
      <c r="C32" s="122" t="s">
        <v>56</v>
      </c>
      <c r="D32" s="107"/>
      <c r="E32" s="122"/>
      <c r="F32" s="467" t="s">
        <v>57</v>
      </c>
    </row>
    <row r="33" spans="1:6">
      <c r="A33" s="104">
        <v>45419</v>
      </c>
      <c r="B33" s="102" t="s">
        <v>31</v>
      </c>
      <c r="C33" s="106" t="s">
        <v>55</v>
      </c>
      <c r="D33" s="311"/>
      <c r="E33" s="106"/>
      <c r="F33" s="306" t="s">
        <v>54</v>
      </c>
    </row>
    <row r="34" spans="1:6">
      <c r="A34" s="104">
        <v>45419</v>
      </c>
      <c r="B34" s="105" t="s">
        <v>33</v>
      </c>
      <c r="C34" s="106" t="s">
        <v>55</v>
      </c>
      <c r="D34" s="311"/>
      <c r="E34" s="106"/>
      <c r="F34" s="306" t="s">
        <v>54</v>
      </c>
    </row>
    <row r="35" spans="1:6">
      <c r="A35" s="104">
        <v>45419</v>
      </c>
      <c r="B35" s="105" t="s">
        <v>37</v>
      </c>
      <c r="C35" s="106" t="s">
        <v>55</v>
      </c>
      <c r="D35" s="311"/>
      <c r="E35" s="106"/>
      <c r="F35" s="306" t="s">
        <v>54</v>
      </c>
    </row>
    <row r="36" spans="1:6">
      <c r="A36" s="104">
        <v>45446</v>
      </c>
      <c r="B36" s="306" t="s">
        <v>31</v>
      </c>
      <c r="C36" s="106" t="s">
        <v>55</v>
      </c>
      <c r="D36" s="311"/>
      <c r="E36" s="106"/>
      <c r="F36" s="330" t="s">
        <v>58</v>
      </c>
    </row>
    <row r="37" spans="1:6">
      <c r="A37" s="104">
        <v>45446</v>
      </c>
      <c r="B37" s="306" t="s">
        <v>37</v>
      </c>
      <c r="C37" s="106" t="s">
        <v>55</v>
      </c>
      <c r="D37" s="311"/>
      <c r="E37" s="106"/>
      <c r="F37" s="330" t="s">
        <v>58</v>
      </c>
    </row>
    <row r="38" spans="1:6">
      <c r="A38" s="104">
        <v>45476</v>
      </c>
      <c r="B38" s="105" t="s">
        <v>31</v>
      </c>
      <c r="C38" s="106" t="s">
        <v>55</v>
      </c>
      <c r="D38" s="311"/>
      <c r="E38" s="304"/>
      <c r="F38" s="306" t="s">
        <v>54</v>
      </c>
    </row>
    <row r="39" spans="1:6">
      <c r="A39" s="104">
        <v>45476</v>
      </c>
      <c r="B39" s="105" t="s">
        <v>35</v>
      </c>
      <c r="C39" s="106" t="s">
        <v>55</v>
      </c>
      <c r="D39" s="309"/>
      <c r="E39" s="299"/>
      <c r="F39" s="306" t="s">
        <v>54</v>
      </c>
    </row>
    <row r="40" spans="1:6" ht="13.5">
      <c r="A40" s="298">
        <v>45476</v>
      </c>
      <c r="B40" s="306" t="s">
        <v>37</v>
      </c>
      <c r="C40" s="300" t="s">
        <v>55</v>
      </c>
      <c r="D40" s="345"/>
      <c r="E40" s="299"/>
      <c r="F40" s="306" t="s">
        <v>54</v>
      </c>
    </row>
    <row r="41" spans="1:6">
      <c r="A41" s="298">
        <v>45476</v>
      </c>
      <c r="B41" s="306" t="s">
        <v>39</v>
      </c>
      <c r="C41" s="299" t="s">
        <v>55</v>
      </c>
      <c r="D41" s="358"/>
      <c r="E41" s="321"/>
      <c r="F41" s="468" t="s">
        <v>54</v>
      </c>
    </row>
    <row r="42" spans="1:6" ht="13.5">
      <c r="A42" s="298">
        <v>45476</v>
      </c>
      <c r="B42" s="306" t="s">
        <v>41</v>
      </c>
      <c r="C42" s="300" t="s">
        <v>53</v>
      </c>
      <c r="D42" s="310"/>
      <c r="E42" s="106"/>
      <c r="F42" s="105" t="s">
        <v>59</v>
      </c>
    </row>
    <row r="43" spans="1:6" ht="13.5">
      <c r="A43" s="298">
        <v>45476</v>
      </c>
      <c r="B43" s="306" t="s">
        <v>43</v>
      </c>
      <c r="C43" s="300" t="s">
        <v>55</v>
      </c>
      <c r="D43" s="310"/>
      <c r="E43" s="106"/>
      <c r="F43" s="105" t="s">
        <v>59</v>
      </c>
    </row>
    <row r="44" spans="1:6" ht="13.5">
      <c r="A44" s="464">
        <v>45477</v>
      </c>
      <c r="B44" s="360"/>
      <c r="C44" s="361" t="s">
        <v>56</v>
      </c>
      <c r="D44" s="362"/>
      <c r="E44" s="122"/>
      <c r="F44" s="120" t="s">
        <v>60</v>
      </c>
    </row>
    <row r="45" spans="1:6" ht="13.5">
      <c r="A45" s="298">
        <v>45510</v>
      </c>
      <c r="B45" s="306" t="s">
        <v>31</v>
      </c>
      <c r="C45" s="300" t="s">
        <v>61</v>
      </c>
      <c r="D45" s="310"/>
      <c r="E45" s="106"/>
      <c r="F45" s="105" t="s">
        <v>54</v>
      </c>
    </row>
    <row r="46" spans="1:6" ht="13.5">
      <c r="A46" s="298">
        <v>45510</v>
      </c>
      <c r="B46" s="306" t="s">
        <v>33</v>
      </c>
      <c r="C46" s="300" t="s">
        <v>62</v>
      </c>
      <c r="D46" s="310"/>
      <c r="E46" s="106"/>
      <c r="F46" s="105" t="s">
        <v>54</v>
      </c>
    </row>
    <row r="47" spans="1:6">
      <c r="A47" s="298">
        <v>45510</v>
      </c>
      <c r="B47" s="306" t="s">
        <v>37</v>
      </c>
      <c r="C47" s="299" t="s">
        <v>61</v>
      </c>
      <c r="D47" s="310"/>
      <c r="E47" s="106"/>
      <c r="F47" s="105" t="s">
        <v>54</v>
      </c>
    </row>
    <row r="48" spans="1:6" ht="13.5">
      <c r="A48" s="464">
        <v>45532</v>
      </c>
      <c r="B48" s="360"/>
      <c r="C48" s="361" t="s">
        <v>63</v>
      </c>
      <c r="D48" s="362"/>
      <c r="E48" s="122"/>
      <c r="F48" s="120" t="s">
        <v>64</v>
      </c>
    </row>
    <row r="49" spans="1:6">
      <c r="A49" s="346">
        <v>45537</v>
      </c>
      <c r="B49" s="347" t="s">
        <v>37</v>
      </c>
      <c r="C49" s="359" t="s">
        <v>61</v>
      </c>
      <c r="D49" s="304"/>
      <c r="E49" s="304"/>
      <c r="F49" s="302" t="s">
        <v>54</v>
      </c>
    </row>
    <row r="50" spans="1:6" ht="13.5">
      <c r="A50" s="298">
        <v>45559</v>
      </c>
      <c r="B50" s="360" t="s">
        <v>39</v>
      </c>
      <c r="C50" s="361" t="s">
        <v>56</v>
      </c>
      <c r="D50" s="299"/>
      <c r="E50" s="299"/>
      <c r="F50" s="360" t="s">
        <v>65</v>
      </c>
    </row>
    <row r="51" spans="1:6" ht="13.5">
      <c r="A51" s="298">
        <v>45559</v>
      </c>
      <c r="B51" s="360" t="s">
        <v>41</v>
      </c>
      <c r="C51" s="361" t="s">
        <v>56</v>
      </c>
      <c r="D51" s="299"/>
      <c r="E51" s="299"/>
      <c r="F51" s="360" t="s">
        <v>65</v>
      </c>
    </row>
    <row r="52" spans="1:6" ht="13.5">
      <c r="A52" s="298">
        <v>45559</v>
      </c>
      <c r="B52" s="360" t="s">
        <v>43</v>
      </c>
      <c r="C52" s="361" t="s">
        <v>56</v>
      </c>
      <c r="D52" s="299"/>
      <c r="E52" s="299"/>
      <c r="F52" s="360" t="s">
        <v>65</v>
      </c>
    </row>
    <row r="53" spans="1:6">
      <c r="A53" s="326">
        <v>45579</v>
      </c>
      <c r="B53" s="327" t="s">
        <v>31</v>
      </c>
      <c r="C53" s="328" t="s">
        <v>66</v>
      </c>
      <c r="D53" s="328"/>
      <c r="E53" s="328"/>
      <c r="F53" s="327" t="s">
        <v>67</v>
      </c>
    </row>
    <row r="54" spans="1:6">
      <c r="A54" s="298">
        <v>45579</v>
      </c>
      <c r="B54" s="306" t="s">
        <v>35</v>
      </c>
      <c r="C54" s="299" t="s">
        <v>66</v>
      </c>
      <c r="D54" s="299"/>
      <c r="E54" s="299"/>
      <c r="F54" s="306" t="s">
        <v>54</v>
      </c>
    </row>
    <row r="55" spans="1:6">
      <c r="A55" s="298">
        <v>45579</v>
      </c>
      <c r="B55" s="306" t="s">
        <v>39</v>
      </c>
      <c r="C55" s="299" t="s">
        <v>66</v>
      </c>
      <c r="D55" s="299"/>
      <c r="E55" s="299"/>
      <c r="F55" s="306" t="s">
        <v>68</v>
      </c>
    </row>
    <row r="56" spans="1:6">
      <c r="A56" s="298">
        <v>45579</v>
      </c>
      <c r="B56" s="306" t="s">
        <v>41</v>
      </c>
      <c r="C56" s="299" t="s">
        <v>66</v>
      </c>
      <c r="D56" s="299"/>
      <c r="E56" s="299"/>
      <c r="F56" s="306" t="s">
        <v>68</v>
      </c>
    </row>
    <row r="57" spans="1:6">
      <c r="A57" s="298">
        <v>45579</v>
      </c>
      <c r="B57" s="306" t="s">
        <v>43</v>
      </c>
      <c r="C57" s="299" t="s">
        <v>66</v>
      </c>
      <c r="D57" s="323"/>
      <c r="E57" s="299"/>
      <c r="F57" s="306" t="s">
        <v>68</v>
      </c>
    </row>
    <row r="58" spans="1:6">
      <c r="A58" s="298">
        <v>45604</v>
      </c>
      <c r="B58" s="306" t="s">
        <v>37</v>
      </c>
      <c r="C58" s="299" t="s">
        <v>66</v>
      </c>
      <c r="D58" s="323"/>
      <c r="E58" s="299"/>
      <c r="F58" s="306" t="s">
        <v>68</v>
      </c>
    </row>
    <row r="59" spans="1:6">
      <c r="A59" s="320">
        <v>45608</v>
      </c>
      <c r="B59" s="102" t="s">
        <v>31</v>
      </c>
      <c r="C59" s="299" t="s">
        <v>66</v>
      </c>
      <c r="D59" s="322"/>
      <c r="E59" s="321"/>
      <c r="F59" s="320" t="s">
        <v>68</v>
      </c>
    </row>
    <row r="60" spans="1:6">
      <c r="A60" s="104">
        <v>45608</v>
      </c>
      <c r="B60" s="105" t="s">
        <v>33</v>
      </c>
      <c r="C60" s="299" t="s">
        <v>66</v>
      </c>
      <c r="D60" s="311"/>
      <c r="E60" s="106"/>
      <c r="F60" s="320" t="s">
        <v>68</v>
      </c>
    </row>
    <row r="61" spans="1:6">
      <c r="A61" s="104">
        <v>45628</v>
      </c>
      <c r="B61" s="105" t="s">
        <v>31</v>
      </c>
      <c r="C61" s="106" t="s">
        <v>66</v>
      </c>
      <c r="D61" s="311"/>
      <c r="E61" s="106"/>
      <c r="F61" s="105" t="s">
        <v>58</v>
      </c>
    </row>
    <row r="62" spans="1:6">
      <c r="A62" s="298">
        <v>45628</v>
      </c>
      <c r="B62" s="306" t="s">
        <v>37</v>
      </c>
      <c r="C62" s="299" t="s">
        <v>66</v>
      </c>
      <c r="D62" s="323"/>
      <c r="E62" s="299"/>
      <c r="F62" s="469" t="s">
        <v>58</v>
      </c>
    </row>
    <row r="63" spans="1:6">
      <c r="A63" s="104">
        <v>45659</v>
      </c>
      <c r="B63" s="105" t="s">
        <v>31</v>
      </c>
      <c r="C63" s="299" t="s">
        <v>66</v>
      </c>
      <c r="D63" s="311"/>
      <c r="E63" s="106"/>
      <c r="F63" s="469" t="s">
        <v>58</v>
      </c>
    </row>
    <row r="64" spans="1:6">
      <c r="A64" s="104">
        <v>45659</v>
      </c>
      <c r="B64" s="105" t="s">
        <v>35</v>
      </c>
      <c r="C64" s="299" t="s">
        <v>66</v>
      </c>
      <c r="D64" s="311"/>
      <c r="E64" s="106"/>
      <c r="F64" s="469" t="s">
        <v>58</v>
      </c>
    </row>
    <row r="65" spans="1:9">
      <c r="A65" s="104">
        <v>45659</v>
      </c>
      <c r="B65" s="102" t="s">
        <v>37</v>
      </c>
      <c r="C65" s="299" t="s">
        <v>66</v>
      </c>
      <c r="D65" s="311"/>
      <c r="E65" s="106"/>
      <c r="F65" s="469" t="s">
        <v>58</v>
      </c>
      <c r="I65" s="324"/>
    </row>
    <row r="66" spans="1:9">
      <c r="A66" s="104">
        <v>45659</v>
      </c>
      <c r="B66" s="105" t="s">
        <v>39</v>
      </c>
      <c r="C66" s="299" t="s">
        <v>66</v>
      </c>
      <c r="D66" s="311"/>
      <c r="E66" s="106"/>
      <c r="F66" s="469" t="s">
        <v>58</v>
      </c>
    </row>
    <row r="67" spans="1:9">
      <c r="A67" s="104">
        <v>45659</v>
      </c>
      <c r="B67" s="105" t="s">
        <v>41</v>
      </c>
      <c r="C67" s="299" t="s">
        <v>66</v>
      </c>
      <c r="D67" s="107"/>
      <c r="E67" s="122"/>
      <c r="F67" s="469" t="s">
        <v>58</v>
      </c>
    </row>
    <row r="68" spans="1:9">
      <c r="A68" s="104">
        <v>45659</v>
      </c>
      <c r="B68" s="105" t="s">
        <v>43</v>
      </c>
      <c r="C68" s="299" t="s">
        <v>66</v>
      </c>
      <c r="D68" s="311"/>
      <c r="E68" s="106"/>
      <c r="F68" s="469" t="s">
        <v>58</v>
      </c>
    </row>
    <row r="69" spans="1:9">
      <c r="A69" s="464">
        <v>45672</v>
      </c>
      <c r="B69" s="360"/>
      <c r="C69" s="475" t="s">
        <v>69</v>
      </c>
      <c r="D69" s="473"/>
      <c r="E69" s="474"/>
      <c r="F69" s="469" t="s">
        <v>58</v>
      </c>
    </row>
    <row r="70" spans="1:9">
      <c r="A70" s="298">
        <v>45692</v>
      </c>
      <c r="B70" s="306" t="s">
        <v>31</v>
      </c>
      <c r="C70" s="299" t="s">
        <v>66</v>
      </c>
      <c r="D70" s="344"/>
      <c r="E70" s="299"/>
      <c r="F70" s="469" t="s">
        <v>58</v>
      </c>
    </row>
    <row r="71" spans="1:9">
      <c r="A71" s="298">
        <v>45692</v>
      </c>
      <c r="B71" s="306" t="s">
        <v>33</v>
      </c>
      <c r="C71" s="299" t="s">
        <v>66</v>
      </c>
      <c r="D71" s="344"/>
      <c r="E71" s="299"/>
      <c r="F71" s="469" t="s">
        <v>58</v>
      </c>
    </row>
    <row r="72" spans="1:9">
      <c r="A72" s="298">
        <v>45692</v>
      </c>
      <c r="B72" s="306" t="s">
        <v>37</v>
      </c>
      <c r="C72" s="299" t="s">
        <v>66</v>
      </c>
      <c r="D72" s="344"/>
      <c r="E72" s="308"/>
      <c r="F72" s="469" t="s">
        <v>58</v>
      </c>
    </row>
    <row r="73" spans="1:9">
      <c r="A73" s="298">
        <v>45719</v>
      </c>
      <c r="B73" s="306" t="s">
        <v>31</v>
      </c>
      <c r="C73" s="299" t="s">
        <v>66</v>
      </c>
      <c r="D73" s="344"/>
      <c r="E73" s="299"/>
      <c r="F73" s="469" t="s">
        <v>58</v>
      </c>
    </row>
    <row r="74" spans="1:9">
      <c r="A74" s="298">
        <v>45719</v>
      </c>
      <c r="B74" s="306" t="s">
        <v>37</v>
      </c>
      <c r="C74" s="480" t="s">
        <v>70</v>
      </c>
      <c r="D74" s="344"/>
      <c r="E74" s="308"/>
      <c r="F74" s="469" t="s">
        <v>58</v>
      </c>
    </row>
    <row r="75" spans="1:9">
      <c r="A75" s="298">
        <v>45748</v>
      </c>
      <c r="B75" s="306" t="s">
        <v>31</v>
      </c>
      <c r="C75" s="299" t="s">
        <v>61</v>
      </c>
      <c r="D75" s="299"/>
      <c r="E75" s="299"/>
      <c r="F75" s="306" t="s">
        <v>54</v>
      </c>
    </row>
    <row r="76" spans="1:9">
      <c r="A76" s="298">
        <v>45748</v>
      </c>
      <c r="B76" s="306" t="s">
        <v>35</v>
      </c>
      <c r="C76" s="299" t="s">
        <v>61</v>
      </c>
      <c r="D76" s="323"/>
      <c r="E76" s="299"/>
      <c r="F76" s="306" t="s">
        <v>54</v>
      </c>
    </row>
    <row r="77" spans="1:9">
      <c r="A77" s="298">
        <v>45748</v>
      </c>
      <c r="B77" s="306" t="s">
        <v>37</v>
      </c>
      <c r="C77" s="299" t="s">
        <v>61</v>
      </c>
      <c r="D77" s="299"/>
      <c r="E77" s="299"/>
      <c r="F77" s="306" t="s">
        <v>54</v>
      </c>
    </row>
    <row r="78" spans="1:9">
      <c r="A78" s="298">
        <v>45748</v>
      </c>
      <c r="B78" s="306" t="s">
        <v>39</v>
      </c>
      <c r="C78" s="299" t="s">
        <v>61</v>
      </c>
      <c r="D78" s="299"/>
      <c r="E78" s="299"/>
      <c r="F78" s="306" t="s">
        <v>54</v>
      </c>
    </row>
    <row r="79" spans="1:9">
      <c r="A79" s="298">
        <v>45748</v>
      </c>
      <c r="B79" s="306" t="s">
        <v>41</v>
      </c>
      <c r="C79" s="299" t="s">
        <v>61</v>
      </c>
      <c r="D79" s="299"/>
      <c r="E79" s="299"/>
      <c r="F79" s="306" t="s">
        <v>54</v>
      </c>
    </row>
    <row r="80" spans="1:9">
      <c r="A80" s="298">
        <v>45748</v>
      </c>
      <c r="B80" s="306" t="s">
        <v>43</v>
      </c>
      <c r="C80" s="299" t="s">
        <v>61</v>
      </c>
      <c r="D80" s="323"/>
      <c r="E80" s="299"/>
      <c r="F80" s="306" t="s">
        <v>54</v>
      </c>
    </row>
    <row r="81" spans="1:6">
      <c r="A81" s="298">
        <v>45750</v>
      </c>
      <c r="B81" s="306"/>
      <c r="C81" s="555" t="s">
        <v>71</v>
      </c>
      <c r="D81" s="323"/>
      <c r="E81" s="299"/>
      <c r="F81" s="306" t="s">
        <v>72</v>
      </c>
    </row>
    <row r="82" spans="1:6">
      <c r="A82" s="298">
        <v>45783</v>
      </c>
      <c r="B82" s="306" t="s">
        <v>31</v>
      </c>
      <c r="C82" s="299" t="s">
        <v>55</v>
      </c>
      <c r="D82" s="323"/>
      <c r="E82" s="299"/>
      <c r="F82" s="306" t="s">
        <v>68</v>
      </c>
    </row>
    <row r="83" spans="1:6">
      <c r="A83" s="298">
        <v>45783</v>
      </c>
      <c r="B83" s="306" t="s">
        <v>33</v>
      </c>
      <c r="C83" s="299" t="s">
        <v>53</v>
      </c>
      <c r="D83" s="323"/>
      <c r="E83" s="299"/>
      <c r="F83" s="306" t="s">
        <v>68</v>
      </c>
    </row>
    <row r="84" spans="1:6">
      <c r="A84" s="298">
        <v>45783</v>
      </c>
      <c r="B84" s="306" t="s">
        <v>37</v>
      </c>
      <c r="C84" s="299" t="s">
        <v>53</v>
      </c>
      <c r="D84" s="323"/>
      <c r="E84" s="299"/>
      <c r="F84" s="306" t="s">
        <v>68</v>
      </c>
    </row>
    <row r="85" spans="1:6">
      <c r="A85" s="307">
        <v>45810</v>
      </c>
      <c r="B85" s="306" t="s">
        <v>31</v>
      </c>
      <c r="C85" s="299" t="s">
        <v>61</v>
      </c>
      <c r="D85" s="323"/>
      <c r="E85" s="299"/>
      <c r="F85" s="306" t="s">
        <v>72</v>
      </c>
    </row>
    <row r="86" spans="1:6">
      <c r="A86" s="307">
        <v>45811</v>
      </c>
      <c r="B86" s="330" t="s">
        <v>37</v>
      </c>
      <c r="C86" s="308" t="s">
        <v>55</v>
      </c>
      <c r="D86" s="331"/>
      <c r="E86" s="308"/>
      <c r="F86" s="330" t="s">
        <v>68</v>
      </c>
    </row>
    <row r="87" spans="1:6" ht="15">
      <c r="A87" s="298">
        <v>45841</v>
      </c>
      <c r="B87" s="306"/>
      <c r="C87" s="556" t="s">
        <v>56</v>
      </c>
      <c r="D87" s="556"/>
      <c r="E87" s="556"/>
      <c r="F87" s="557" t="s">
        <v>60</v>
      </c>
    </row>
    <row r="88" spans="1:6">
      <c r="A88" s="298">
        <v>45841</v>
      </c>
      <c r="B88" s="306" t="s">
        <v>31</v>
      </c>
      <c r="C88" s="299" t="s">
        <v>55</v>
      </c>
      <c r="D88" s="299"/>
      <c r="E88" s="299"/>
      <c r="F88" s="306" t="s">
        <v>72</v>
      </c>
    </row>
    <row r="89" spans="1:6">
      <c r="A89" s="298">
        <v>45841</v>
      </c>
      <c r="B89" s="306" t="s">
        <v>35</v>
      </c>
      <c r="C89" s="299" t="s">
        <v>55</v>
      </c>
      <c r="D89" s="299"/>
      <c r="E89" s="299"/>
      <c r="F89" s="306" t="s">
        <v>72</v>
      </c>
    </row>
    <row r="90" spans="1:6">
      <c r="A90" s="298">
        <v>45841</v>
      </c>
      <c r="B90" s="306" t="s">
        <v>39</v>
      </c>
      <c r="C90" s="299" t="s">
        <v>55</v>
      </c>
      <c r="D90" s="299"/>
      <c r="E90" s="299"/>
      <c r="F90" s="306" t="s">
        <v>72</v>
      </c>
    </row>
    <row r="91" spans="1:6">
      <c r="A91" s="298">
        <v>45841</v>
      </c>
      <c r="B91" s="306" t="s">
        <v>41</v>
      </c>
      <c r="C91" s="299" t="s">
        <v>55</v>
      </c>
      <c r="D91" s="299"/>
      <c r="E91" s="299"/>
      <c r="F91" s="306" t="s">
        <v>72</v>
      </c>
    </row>
    <row r="92" spans="1:6">
      <c r="A92" s="298">
        <v>45841</v>
      </c>
      <c r="B92" s="306" t="s">
        <v>43</v>
      </c>
      <c r="C92" s="299" t="s">
        <v>55</v>
      </c>
      <c r="D92" s="299"/>
      <c r="E92" s="299"/>
      <c r="F92" s="306" t="s">
        <v>72</v>
      </c>
    </row>
    <row r="93" spans="1:6">
      <c r="A93" s="298">
        <v>45853</v>
      </c>
      <c r="B93" s="306" t="s">
        <v>37</v>
      </c>
      <c r="C93" s="299" t="s">
        <v>55</v>
      </c>
      <c r="D93" s="323"/>
      <c r="E93" s="299"/>
      <c r="F93" s="306" t="s">
        <v>68</v>
      </c>
    </row>
    <row r="94" spans="1:6">
      <c r="A94" s="298">
        <v>45870</v>
      </c>
      <c r="B94" s="306" t="s">
        <v>31</v>
      </c>
      <c r="C94" s="299" t="s">
        <v>55</v>
      </c>
      <c r="D94" s="323"/>
      <c r="E94" s="299"/>
      <c r="F94" s="306" t="s">
        <v>68</v>
      </c>
    </row>
    <row r="95" spans="1:6">
      <c r="A95" s="298">
        <v>45870</v>
      </c>
      <c r="B95" s="306" t="s">
        <v>37</v>
      </c>
      <c r="C95" s="299" t="s">
        <v>55</v>
      </c>
      <c r="D95" s="323"/>
      <c r="E95" s="299"/>
      <c r="F95" s="306" t="s">
        <v>68</v>
      </c>
    </row>
    <row r="96" spans="1:6">
      <c r="A96" s="307">
        <v>45874</v>
      </c>
      <c r="B96" s="330" t="s">
        <v>33</v>
      </c>
      <c r="C96" s="299" t="s">
        <v>55</v>
      </c>
      <c r="D96" s="331"/>
      <c r="E96" s="308"/>
      <c r="F96" s="306" t="s">
        <v>68</v>
      </c>
    </row>
    <row r="97" spans="1:6">
      <c r="A97" s="558">
        <v>45901</v>
      </c>
      <c r="B97" s="306" t="s">
        <v>31</v>
      </c>
      <c r="C97" s="299" t="s">
        <v>61</v>
      </c>
      <c r="D97" s="323"/>
      <c r="E97" s="299"/>
      <c r="F97" s="306" t="s">
        <v>73</v>
      </c>
    </row>
    <row r="98" spans="1:6">
      <c r="A98" s="559">
        <v>45901</v>
      </c>
      <c r="B98" s="330" t="s">
        <v>37</v>
      </c>
      <c r="C98" s="308" t="s">
        <v>61</v>
      </c>
      <c r="D98" s="331"/>
      <c r="E98" s="308"/>
      <c r="F98" s="330" t="s">
        <v>73</v>
      </c>
    </row>
    <row r="99" spans="1:6">
      <c r="A99" s="104">
        <v>45932</v>
      </c>
      <c r="B99" s="105" t="s">
        <v>31</v>
      </c>
      <c r="C99" s="106" t="s">
        <v>61</v>
      </c>
      <c r="D99" s="311"/>
      <c r="E99" s="106"/>
      <c r="F99" s="105" t="s">
        <v>73</v>
      </c>
    </row>
    <row r="100" spans="1:6">
      <c r="A100" s="104">
        <v>45932</v>
      </c>
      <c r="B100" s="105" t="s">
        <v>37</v>
      </c>
      <c r="C100" s="106" t="s">
        <v>61</v>
      </c>
      <c r="D100" s="311"/>
      <c r="E100" s="106"/>
      <c r="F100" s="105" t="s">
        <v>73</v>
      </c>
    </row>
    <row r="101" spans="1:6">
      <c r="A101" s="104">
        <v>45932</v>
      </c>
      <c r="B101" s="102" t="s">
        <v>43</v>
      </c>
      <c r="C101" s="106" t="s">
        <v>61</v>
      </c>
      <c r="D101" s="311"/>
      <c r="E101" s="106"/>
      <c r="F101" s="105" t="s">
        <v>73</v>
      </c>
    </row>
    <row r="102" spans="1:6">
      <c r="A102" s="104">
        <v>45932</v>
      </c>
      <c r="B102" s="105" t="s">
        <v>41</v>
      </c>
      <c r="C102" s="106" t="s">
        <v>61</v>
      </c>
      <c r="D102" s="311"/>
      <c r="E102" s="106"/>
      <c r="F102" s="105" t="s">
        <v>73</v>
      </c>
    </row>
    <row r="103" spans="1:6">
      <c r="A103" s="104">
        <v>45932</v>
      </c>
      <c r="B103" s="105" t="s">
        <v>39</v>
      </c>
      <c r="C103" s="106" t="s">
        <v>61</v>
      </c>
      <c r="D103" s="311"/>
      <c r="E103" s="106"/>
      <c r="F103" s="105" t="s">
        <v>73</v>
      </c>
    </row>
    <row r="104" spans="1:6">
      <c r="A104" s="104">
        <v>45964</v>
      </c>
      <c r="B104" s="105" t="s">
        <v>74</v>
      </c>
      <c r="C104" s="106" t="s">
        <v>61</v>
      </c>
      <c r="D104" s="311"/>
      <c r="E104" s="106"/>
      <c r="F104" s="105" t="s">
        <v>73</v>
      </c>
    </row>
    <row r="105" spans="1:6">
      <c r="A105" s="104">
        <v>45964</v>
      </c>
      <c r="B105" s="105" t="s">
        <v>75</v>
      </c>
      <c r="C105" s="106" t="s">
        <v>61</v>
      </c>
      <c r="D105" s="311"/>
      <c r="E105" s="106"/>
      <c r="F105" s="105" t="s">
        <v>73</v>
      </c>
    </row>
    <row r="106" spans="1:6">
      <c r="A106" s="104">
        <v>45964</v>
      </c>
      <c r="B106" s="105" t="s">
        <v>37</v>
      </c>
      <c r="C106" s="106" t="s">
        <v>61</v>
      </c>
      <c r="D106" s="311"/>
      <c r="E106" s="106"/>
      <c r="F106" s="105" t="s">
        <v>73</v>
      </c>
    </row>
    <row r="107" spans="1:6">
      <c r="A107" s="104">
        <v>45964</v>
      </c>
      <c r="B107" s="105"/>
      <c r="C107" s="473" t="s">
        <v>76</v>
      </c>
      <c r="D107" s="311"/>
      <c r="E107" s="106"/>
      <c r="F107" s="105"/>
    </row>
    <row r="108" spans="1:6">
      <c r="A108" s="105"/>
      <c r="B108" s="105"/>
      <c r="C108" s="106"/>
      <c r="D108" s="311"/>
      <c r="E108" s="106"/>
      <c r="F108" s="105"/>
    </row>
    <row r="109" spans="1:6">
      <c r="A109" s="105"/>
      <c r="B109" s="105"/>
      <c r="C109" s="106"/>
      <c r="D109" s="311"/>
      <c r="E109" s="106"/>
      <c r="F109" s="105"/>
    </row>
    <row r="110" spans="1:6">
      <c r="A110" s="105"/>
      <c r="B110" s="105"/>
      <c r="C110" s="106"/>
      <c r="D110" s="311"/>
      <c r="E110" s="106"/>
      <c r="F110" s="105"/>
    </row>
    <row r="111" spans="1:6">
      <c r="A111" s="105"/>
      <c r="B111" s="105"/>
      <c r="C111" s="106"/>
      <c r="D111" s="311"/>
      <c r="E111" s="106"/>
      <c r="F111" s="105"/>
    </row>
    <row r="112" spans="1:6">
      <c r="A112" s="105"/>
      <c r="B112" s="105"/>
      <c r="C112" s="106"/>
      <c r="D112" s="311"/>
      <c r="E112" s="106"/>
      <c r="F112" s="105"/>
    </row>
    <row r="113" spans="1:6">
      <c r="A113" s="105"/>
      <c r="B113" s="105"/>
      <c r="C113" s="106"/>
      <c r="D113" s="311"/>
      <c r="E113" s="106"/>
      <c r="F113" s="105"/>
    </row>
    <row r="114" spans="1:6">
      <c r="A114" s="105"/>
      <c r="B114" s="105"/>
      <c r="C114" s="106"/>
      <c r="D114" s="311"/>
      <c r="E114" s="106"/>
      <c r="F114" s="105"/>
    </row>
    <row r="115" spans="1:6">
      <c r="A115" s="105"/>
      <c r="B115" s="105"/>
      <c r="C115" s="106"/>
      <c r="D115" s="311"/>
      <c r="E115" s="106"/>
      <c r="F115" s="105"/>
    </row>
    <row r="116" spans="1:6">
      <c r="A116" s="105"/>
      <c r="B116" s="105"/>
      <c r="C116" s="106"/>
      <c r="D116" s="311"/>
      <c r="E116" s="106"/>
      <c r="F116" s="105"/>
    </row>
    <row r="117" spans="1:6">
      <c r="A117" s="105"/>
      <c r="B117" s="105"/>
      <c r="C117" s="106"/>
      <c r="D117" s="311"/>
      <c r="E117" s="106"/>
      <c r="F117" s="105"/>
    </row>
    <row r="118" spans="1:6">
      <c r="A118" s="105"/>
      <c r="B118" s="105"/>
      <c r="C118" s="106"/>
      <c r="D118" s="311"/>
      <c r="E118" s="106"/>
      <c r="F118" s="105"/>
    </row>
    <row r="119" spans="1:6">
      <c r="A119" s="105"/>
      <c r="B119" s="105"/>
      <c r="C119" s="106"/>
      <c r="D119" s="311"/>
      <c r="E119" s="106"/>
      <c r="F119" s="105"/>
    </row>
    <row r="120" spans="1:6">
      <c r="A120" s="306"/>
      <c r="B120" s="306"/>
      <c r="C120" s="299"/>
      <c r="D120" s="323"/>
      <c r="E120" s="299"/>
      <c r="F120" s="306"/>
    </row>
    <row r="121" spans="1:6">
      <c r="A121" s="306"/>
      <c r="B121" s="306"/>
      <c r="C121" s="299"/>
      <c r="D121" s="323"/>
      <c r="E121" s="299"/>
      <c r="F121" s="306"/>
    </row>
    <row r="122" spans="1:6">
      <c r="A122" s="306"/>
      <c r="B122" s="306"/>
      <c r="C122" s="299"/>
      <c r="D122" s="323"/>
      <c r="E122" s="299"/>
      <c r="F122" s="306"/>
    </row>
    <row r="123" spans="1:6">
      <c r="A123" s="298"/>
      <c r="B123" s="306"/>
      <c r="C123" s="310"/>
      <c r="D123" s="311"/>
      <c r="E123" s="106"/>
      <c r="F123" s="105"/>
    </row>
    <row r="124" spans="1:6">
      <c r="A124" s="307"/>
      <c r="B124" s="330"/>
      <c r="C124" s="465"/>
      <c r="D124" s="319"/>
      <c r="E124" s="304"/>
      <c r="F124" s="302"/>
    </row>
    <row r="125" spans="1:6">
      <c r="A125" s="298"/>
      <c r="B125" s="306"/>
      <c r="C125" s="299"/>
      <c r="D125" s="323"/>
      <c r="E125" s="299"/>
      <c r="F125" s="306"/>
    </row>
    <row r="126" spans="1:6">
      <c r="A126" s="298"/>
      <c r="B126" s="306"/>
      <c r="C126" s="299"/>
      <c r="D126" s="323"/>
      <c r="E126" s="299"/>
      <c r="F126" s="306"/>
    </row>
    <row r="127" spans="1:6">
      <c r="A127" s="298"/>
      <c r="B127" s="306"/>
      <c r="C127" s="299"/>
      <c r="D127" s="323"/>
      <c r="E127" s="299"/>
      <c r="F127" s="306"/>
    </row>
    <row r="128" spans="1:6">
      <c r="A128" s="298"/>
      <c r="B128" s="306"/>
      <c r="C128" s="299"/>
      <c r="D128" s="323"/>
      <c r="E128" s="299"/>
      <c r="F128" s="306"/>
    </row>
    <row r="129" spans="1:6">
      <c r="A129" s="298"/>
      <c r="B129" s="306"/>
      <c r="C129" s="299"/>
      <c r="D129" s="323"/>
      <c r="E129" s="299"/>
      <c r="F129" s="306"/>
    </row>
    <row r="130" spans="1:6">
      <c r="A130" s="298"/>
      <c r="B130" s="306"/>
      <c r="C130" s="299"/>
      <c r="D130" s="323"/>
      <c r="E130" s="299"/>
      <c r="F130" s="306"/>
    </row>
    <row r="131" spans="1:6">
      <c r="A131" s="298"/>
      <c r="B131" s="306"/>
      <c r="C131" s="299"/>
      <c r="D131" s="323"/>
      <c r="E131" s="299"/>
      <c r="F131" s="306"/>
    </row>
    <row r="132" spans="1:6">
      <c r="A132" s="298"/>
      <c r="B132" s="306"/>
      <c r="C132" s="299"/>
      <c r="D132" s="323"/>
      <c r="E132" s="299"/>
      <c r="F132" s="306"/>
    </row>
    <row r="133" spans="1:6">
      <c r="A133" s="298"/>
      <c r="B133" s="306"/>
      <c r="C133" s="299"/>
      <c r="D133" s="323"/>
      <c r="E133" s="299"/>
      <c r="F133" s="306"/>
    </row>
    <row r="134" spans="1:6">
      <c r="A134" s="298"/>
      <c r="B134" s="306"/>
      <c r="C134" s="299"/>
      <c r="D134" s="323"/>
      <c r="E134" s="299"/>
      <c r="F134" s="306"/>
    </row>
    <row r="135" spans="1:6">
      <c r="A135" s="298"/>
      <c r="B135" s="306"/>
      <c r="C135" s="299"/>
      <c r="D135" s="323"/>
      <c r="E135" s="299"/>
      <c r="F135" s="306"/>
    </row>
    <row r="136" spans="1:6">
      <c r="A136" s="298"/>
      <c r="B136" s="306"/>
      <c r="C136" s="299"/>
      <c r="D136" s="323"/>
      <c r="E136" s="299"/>
      <c r="F136" s="306"/>
    </row>
    <row r="137" spans="1:6">
      <c r="A137" s="298"/>
      <c r="B137" s="306"/>
      <c r="C137" s="299"/>
      <c r="D137" s="323"/>
      <c r="E137" s="299"/>
      <c r="F137" s="306"/>
    </row>
    <row r="138" spans="1:6">
      <c r="A138" s="298"/>
      <c r="B138" s="306"/>
      <c r="C138" s="299"/>
      <c r="D138" s="323"/>
      <c r="E138" s="299"/>
      <c r="F138" s="306"/>
    </row>
    <row r="139" spans="1:6">
      <c r="A139" s="298"/>
      <c r="B139" s="306"/>
      <c r="C139" s="299"/>
      <c r="D139" s="323"/>
      <c r="E139" s="299"/>
      <c r="F139" s="306"/>
    </row>
    <row r="140" spans="1:6">
      <c r="A140" s="298"/>
      <c r="B140" s="306"/>
      <c r="C140" s="299"/>
      <c r="D140" s="323"/>
      <c r="E140" s="299"/>
      <c r="F140" s="306"/>
    </row>
    <row r="141" spans="1:6">
      <c r="A141" s="298"/>
      <c r="B141" s="306"/>
      <c r="C141" s="299"/>
      <c r="D141" s="323"/>
      <c r="E141" s="299"/>
      <c r="F141" s="306"/>
    </row>
    <row r="142" spans="1:6">
      <c r="A142" s="298"/>
      <c r="B142" s="306"/>
      <c r="C142" s="299"/>
      <c r="D142" s="323"/>
      <c r="E142" s="299"/>
      <c r="F142" s="306"/>
    </row>
    <row r="143" spans="1:6">
      <c r="A143" s="298"/>
      <c r="B143" s="306"/>
      <c r="C143" s="299"/>
      <c r="D143" s="323"/>
      <c r="E143" s="299"/>
      <c r="F143" s="306"/>
    </row>
    <row r="144" spans="1:6">
      <c r="A144" s="298"/>
      <c r="B144" s="306"/>
      <c r="C144" s="299"/>
      <c r="D144" s="323"/>
      <c r="E144" s="299"/>
      <c r="F144" s="306"/>
    </row>
    <row r="145" spans="1:6">
      <c r="A145" s="306"/>
      <c r="B145" s="306"/>
      <c r="C145" s="299"/>
      <c r="D145" s="323"/>
      <c r="E145" s="299"/>
      <c r="F145" s="306"/>
    </row>
    <row r="146" spans="1:6">
      <c r="A146" s="306"/>
      <c r="B146" s="306"/>
      <c r="C146" s="299"/>
      <c r="D146" s="323"/>
      <c r="E146" s="299"/>
      <c r="F146" s="306"/>
    </row>
    <row r="147" spans="1:6">
      <c r="A147" s="306"/>
      <c r="B147" s="306"/>
      <c r="C147" s="299"/>
      <c r="D147" s="323"/>
      <c r="E147" s="299"/>
      <c r="F147" s="306"/>
    </row>
    <row r="148" spans="1:6">
      <c r="A148" s="306"/>
      <c r="B148" s="306"/>
      <c r="C148" s="299"/>
      <c r="D148" s="323"/>
      <c r="E148" s="299"/>
      <c r="F148" s="306"/>
    </row>
    <row r="149" spans="1:6">
      <c r="A149" s="306"/>
      <c r="B149" s="306"/>
      <c r="C149" s="299"/>
      <c r="D149" s="323"/>
      <c r="E149" s="299"/>
      <c r="F149" s="306"/>
    </row>
    <row r="150" spans="1:6">
      <c r="A150" s="306"/>
      <c r="B150" s="306"/>
      <c r="C150" s="299"/>
      <c r="D150" s="323"/>
      <c r="E150" s="299"/>
      <c r="F150" s="306"/>
    </row>
    <row r="151" spans="1:6">
      <c r="A151" s="306"/>
      <c r="B151" s="306"/>
      <c r="C151" s="299"/>
      <c r="D151" s="323"/>
      <c r="E151" s="299"/>
      <c r="F151" s="306"/>
    </row>
    <row r="152" spans="1:6">
      <c r="A152" s="306"/>
      <c r="B152" s="306"/>
      <c r="C152" s="299"/>
      <c r="D152" s="323"/>
      <c r="E152" s="299"/>
      <c r="F152" s="306"/>
    </row>
    <row r="153" spans="1:6">
      <c r="A153" s="306"/>
      <c r="B153" s="306"/>
      <c r="C153" s="299"/>
      <c r="D153" s="323"/>
      <c r="E153" s="299"/>
      <c r="F153" s="306"/>
    </row>
    <row r="154" spans="1:6">
      <c r="A154" s="306"/>
      <c r="B154" s="306"/>
      <c r="C154" s="299"/>
      <c r="D154" s="323"/>
      <c r="E154" s="299"/>
      <c r="F154" s="306"/>
    </row>
    <row r="155" spans="1:6">
      <c r="A155" s="306"/>
      <c r="B155" s="306"/>
      <c r="C155" s="299"/>
      <c r="D155" s="323"/>
      <c r="E155" s="299"/>
      <c r="F155" s="306"/>
    </row>
    <row r="156" spans="1:6">
      <c r="A156" s="306"/>
      <c r="B156" s="306"/>
      <c r="C156" s="299"/>
      <c r="D156" s="323"/>
      <c r="E156" s="299"/>
      <c r="F156" s="306"/>
    </row>
    <row r="157" spans="1:6">
      <c r="A157" s="306"/>
      <c r="B157" s="306"/>
      <c r="C157" s="299"/>
      <c r="D157" s="323"/>
      <c r="E157" s="299"/>
      <c r="F157" s="306"/>
    </row>
    <row r="158" spans="1:6">
      <c r="A158" s="306"/>
      <c r="B158" s="306"/>
      <c r="C158" s="299"/>
      <c r="D158" s="323"/>
      <c r="E158" s="299"/>
      <c r="F158" s="306"/>
    </row>
    <row r="159" spans="1:6">
      <c r="A159" s="306"/>
      <c r="B159" s="306"/>
      <c r="C159" s="299"/>
      <c r="D159" s="323"/>
      <c r="E159" s="299"/>
      <c r="F159" s="306"/>
    </row>
    <row r="160" spans="1:6">
      <c r="A160" s="306"/>
      <c r="B160" s="306"/>
      <c r="C160" s="299"/>
      <c r="D160" s="299"/>
      <c r="E160" s="299"/>
      <c r="F160" s="306"/>
    </row>
    <row r="161" spans="1:6">
      <c r="A161" s="306"/>
      <c r="B161" s="306"/>
      <c r="C161" s="299"/>
      <c r="D161" s="299"/>
      <c r="E161" s="299"/>
      <c r="F161" s="306"/>
    </row>
    <row r="162" spans="1:6">
      <c r="A162" s="306"/>
      <c r="B162" s="306"/>
      <c r="C162" s="299"/>
      <c r="D162" s="299"/>
      <c r="E162" s="299"/>
      <c r="F162" s="306"/>
    </row>
    <row r="163" spans="1:6">
      <c r="A163" s="306"/>
      <c r="B163" s="306"/>
      <c r="C163" s="299"/>
      <c r="D163" s="299"/>
      <c r="E163" s="299"/>
      <c r="F163" s="306"/>
    </row>
    <row r="164" spans="1:6">
      <c r="A164" s="306"/>
      <c r="B164" s="306"/>
      <c r="C164" s="299"/>
      <c r="D164" s="299"/>
      <c r="E164" s="299"/>
      <c r="F164" s="306"/>
    </row>
    <row r="165" spans="1:6">
      <c r="A165" s="306"/>
      <c r="B165" s="306"/>
      <c r="C165" s="299"/>
      <c r="D165" s="299"/>
      <c r="E165" s="299"/>
      <c r="F165" s="306"/>
    </row>
    <row r="166" spans="1:6">
      <c r="A166" s="306"/>
      <c r="B166" s="306"/>
      <c r="C166" s="299"/>
      <c r="D166" s="299"/>
      <c r="E166" s="299"/>
      <c r="F166" s="306"/>
    </row>
    <row r="167" spans="1:6">
      <c r="A167" s="306"/>
      <c r="B167" s="306"/>
      <c r="C167" s="299"/>
      <c r="D167" s="323"/>
      <c r="E167" s="299"/>
      <c r="F167" s="306"/>
    </row>
    <row r="168" spans="1:6">
      <c r="A168" s="306"/>
      <c r="B168" s="306"/>
      <c r="C168" s="299"/>
      <c r="D168" s="323"/>
      <c r="E168" s="299"/>
      <c r="F168" s="306"/>
    </row>
    <row r="169" spans="1:6">
      <c r="A169" s="306"/>
      <c r="B169" s="306"/>
      <c r="C169" s="299"/>
      <c r="D169" s="323"/>
      <c r="E169" s="299"/>
      <c r="F169" s="306"/>
    </row>
    <row r="170" spans="1:6">
      <c r="A170" s="306"/>
      <c r="B170" s="306"/>
      <c r="C170" s="299"/>
      <c r="D170" s="323"/>
      <c r="E170" s="299"/>
      <c r="F170" s="306"/>
    </row>
    <row r="171" spans="1:6">
      <c r="A171" s="306"/>
      <c r="B171" s="306"/>
      <c r="C171" s="299"/>
      <c r="D171" s="323"/>
      <c r="E171" s="299"/>
      <c r="F171" s="306"/>
    </row>
    <row r="172" spans="1:6">
      <c r="A172" s="306"/>
      <c r="B172" s="306"/>
      <c r="C172" s="299"/>
      <c r="D172" s="323"/>
      <c r="E172" s="299"/>
      <c r="F172" s="306"/>
    </row>
    <row r="173" spans="1:6">
      <c r="A173" s="306"/>
      <c r="B173" s="306"/>
      <c r="C173" s="299"/>
      <c r="D173" s="323"/>
      <c r="E173" s="299"/>
      <c r="F173" s="306"/>
    </row>
    <row r="174" spans="1:6">
      <c r="A174" s="306"/>
      <c r="B174" s="306"/>
      <c r="C174" s="299"/>
      <c r="D174" s="323"/>
      <c r="E174" s="299"/>
      <c r="F174" s="306"/>
    </row>
    <row r="175" spans="1:6">
      <c r="A175" s="306"/>
      <c r="B175" s="306"/>
      <c r="C175" s="299"/>
      <c r="D175" s="323"/>
      <c r="E175" s="299"/>
      <c r="F175" s="306"/>
    </row>
    <row r="176" spans="1:6">
      <c r="A176" s="306"/>
      <c r="B176" s="306"/>
      <c r="C176" s="299"/>
      <c r="D176" s="323"/>
      <c r="E176" s="299"/>
      <c r="F176" s="306"/>
    </row>
    <row r="177" spans="1:6">
      <c r="A177" s="306"/>
      <c r="B177" s="306"/>
      <c r="C177" s="299"/>
      <c r="D177" s="323"/>
      <c r="E177" s="299"/>
      <c r="F177" s="306"/>
    </row>
    <row r="178" spans="1:6">
      <c r="A178" s="306"/>
      <c r="B178" s="306"/>
      <c r="C178" s="299"/>
      <c r="D178" s="323"/>
      <c r="E178" s="299"/>
      <c r="F178" s="306"/>
    </row>
    <row r="179" spans="1:6">
      <c r="A179" s="306"/>
      <c r="B179" s="306"/>
      <c r="C179" s="299"/>
      <c r="D179" s="323"/>
      <c r="E179" s="299"/>
      <c r="F179" s="306"/>
    </row>
    <row r="180" spans="1:6">
      <c r="A180" s="306"/>
      <c r="B180" s="306"/>
      <c r="C180" s="299"/>
      <c r="D180" s="323"/>
      <c r="E180" s="299"/>
      <c r="F180" s="306"/>
    </row>
    <row r="181" spans="1:6">
      <c r="A181" s="306"/>
      <c r="B181" s="306"/>
      <c r="C181" s="299"/>
      <c r="D181" s="323"/>
      <c r="E181" s="299"/>
      <c r="F181" s="306"/>
    </row>
    <row r="182" spans="1:6">
      <c r="A182" s="306"/>
      <c r="B182" s="306"/>
      <c r="C182" s="299"/>
      <c r="D182" s="323"/>
      <c r="E182" s="299"/>
      <c r="F182" s="306"/>
    </row>
    <row r="183" spans="1:6">
      <c r="A183" s="306"/>
      <c r="B183" s="306"/>
      <c r="C183" s="299"/>
      <c r="D183" s="323"/>
      <c r="E183" s="299"/>
      <c r="F183" s="306"/>
    </row>
    <row r="184" spans="1:6">
      <c r="A184" s="306"/>
      <c r="B184" s="306"/>
      <c r="C184" s="299"/>
      <c r="D184" s="323"/>
      <c r="E184" s="299"/>
      <c r="F184" s="306"/>
    </row>
    <row r="185" spans="1:6">
      <c r="A185" s="306"/>
      <c r="B185" s="306"/>
      <c r="C185" s="299"/>
      <c r="D185" s="323"/>
      <c r="E185" s="299"/>
      <c r="F185" s="306"/>
    </row>
    <row r="186" spans="1:6">
      <c r="A186" s="306"/>
      <c r="B186" s="306"/>
      <c r="C186" s="299"/>
      <c r="D186" s="323"/>
      <c r="E186" s="299"/>
      <c r="F186" s="306"/>
    </row>
    <row r="187" spans="1:6">
      <c r="A187" s="306"/>
      <c r="B187" s="306"/>
      <c r="C187" s="299"/>
      <c r="D187" s="323"/>
      <c r="E187" s="299"/>
      <c r="F187" s="306"/>
    </row>
    <row r="188" spans="1:6">
      <c r="A188" s="306"/>
      <c r="B188" s="306"/>
      <c r="C188" s="299"/>
      <c r="D188" s="323"/>
      <c r="E188" s="299"/>
      <c r="F188" s="306"/>
    </row>
    <row r="189" spans="1:6">
      <c r="A189" s="306"/>
      <c r="B189" s="306"/>
      <c r="C189" s="299"/>
      <c r="D189" s="323"/>
      <c r="E189" s="299"/>
      <c r="F189" s="306"/>
    </row>
    <row r="190" spans="1:6">
      <c r="A190" s="306"/>
      <c r="B190" s="306"/>
      <c r="C190" s="299"/>
      <c r="D190" s="323"/>
      <c r="E190" s="299"/>
      <c r="F190" s="306"/>
    </row>
    <row r="191" spans="1:6">
      <c r="A191" s="306"/>
      <c r="B191" s="306"/>
      <c r="C191" s="299"/>
      <c r="D191" s="323"/>
      <c r="E191" s="299"/>
      <c r="F191" s="306"/>
    </row>
    <row r="192" spans="1:6">
      <c r="A192" s="306"/>
      <c r="B192" s="306"/>
      <c r="C192" s="299"/>
      <c r="D192" s="323"/>
      <c r="E192" s="299"/>
      <c r="F192" s="306"/>
    </row>
    <row r="193" spans="1:6">
      <c r="A193" s="306"/>
      <c r="B193" s="306"/>
      <c r="C193" s="299"/>
      <c r="D193" s="323"/>
      <c r="E193" s="299"/>
      <c r="F193" s="306"/>
    </row>
    <row r="194" spans="1:6">
      <c r="A194" s="306"/>
      <c r="B194" s="306"/>
      <c r="C194" s="299"/>
      <c r="D194" s="323"/>
      <c r="E194" s="299"/>
      <c r="F194" s="306"/>
    </row>
    <row r="195" spans="1:6">
      <c r="A195" s="306"/>
      <c r="B195" s="306"/>
      <c r="C195" s="299"/>
      <c r="D195" s="323"/>
      <c r="E195" s="299"/>
      <c r="F195" s="306"/>
    </row>
    <row r="196" spans="1:6">
      <c r="A196" s="306"/>
      <c r="B196" s="306"/>
      <c r="C196" s="299"/>
      <c r="D196" s="323"/>
      <c r="E196" s="299"/>
      <c r="F196" s="306"/>
    </row>
    <row r="197" spans="1:6">
      <c r="A197" s="306"/>
      <c r="B197" s="306"/>
      <c r="C197" s="299"/>
      <c r="D197" s="323"/>
      <c r="E197" s="299"/>
      <c r="F197" s="306"/>
    </row>
    <row r="198" spans="1:6">
      <c r="A198" s="306"/>
      <c r="B198" s="306"/>
      <c r="C198" s="299"/>
      <c r="D198" s="323"/>
      <c r="E198" s="299"/>
      <c r="F198" s="306"/>
    </row>
    <row r="199" spans="1:6">
      <c r="A199" s="306"/>
      <c r="B199" s="306"/>
      <c r="C199" s="299"/>
      <c r="D199" s="323"/>
      <c r="E199" s="299"/>
      <c r="F199" s="306"/>
    </row>
    <row r="200" spans="1:6">
      <c r="A200" s="306"/>
      <c r="B200" s="306"/>
      <c r="C200" s="299"/>
      <c r="D200" s="323"/>
      <c r="E200" s="299"/>
      <c r="F200" s="306"/>
    </row>
    <row r="201" spans="1:6">
      <c r="A201" s="306"/>
      <c r="B201" s="306"/>
      <c r="C201" s="299"/>
      <c r="D201" s="323"/>
      <c r="E201" s="299"/>
      <c r="F201" s="306"/>
    </row>
    <row r="202" spans="1:6">
      <c r="A202" s="306"/>
      <c r="B202" s="306"/>
      <c r="C202" s="299"/>
      <c r="D202" s="323"/>
      <c r="E202" s="299"/>
      <c r="F202" s="306"/>
    </row>
    <row r="203" spans="1:6">
      <c r="A203" s="306"/>
      <c r="B203" s="306"/>
      <c r="C203" s="299"/>
      <c r="D203" s="323"/>
      <c r="E203" s="299"/>
      <c r="F203" s="306"/>
    </row>
    <row r="204" spans="1:6">
      <c r="A204" s="306"/>
      <c r="B204" s="306"/>
      <c r="C204" s="299"/>
      <c r="D204" s="323"/>
      <c r="E204" s="299"/>
      <c r="F204" s="306"/>
    </row>
    <row r="205" spans="1:6">
      <c r="A205" s="306"/>
      <c r="B205" s="306"/>
      <c r="C205" s="299"/>
      <c r="D205" s="323"/>
      <c r="E205" s="299"/>
      <c r="F205" s="306"/>
    </row>
    <row r="206" spans="1:6">
      <c r="A206" s="306"/>
      <c r="B206" s="306"/>
      <c r="C206" s="299"/>
      <c r="D206" s="323"/>
      <c r="E206" s="299"/>
      <c r="F206" s="306"/>
    </row>
    <row r="207" spans="1:6">
      <c r="A207" s="306"/>
      <c r="B207" s="306"/>
      <c r="C207" s="299"/>
      <c r="D207" s="323"/>
      <c r="E207" s="299"/>
      <c r="F207" s="306"/>
    </row>
    <row r="208" spans="1:6">
      <c r="A208" s="306"/>
      <c r="B208" s="306"/>
      <c r="C208" s="299"/>
      <c r="D208" s="323"/>
      <c r="E208" s="299"/>
      <c r="F208" s="306"/>
    </row>
    <row r="209" spans="1:6">
      <c r="A209" s="306"/>
      <c r="B209" s="306"/>
      <c r="C209" s="299"/>
      <c r="D209" s="323"/>
      <c r="E209" s="299"/>
      <c r="F209" s="306"/>
    </row>
    <row r="210" spans="1:6">
      <c r="A210" s="306"/>
      <c r="B210" s="306"/>
      <c r="C210" s="299"/>
      <c r="D210" s="323"/>
      <c r="E210" s="299"/>
      <c r="F210" s="306"/>
    </row>
    <row r="211" spans="1:6">
      <c r="A211" s="306"/>
      <c r="B211" s="306"/>
      <c r="C211" s="299"/>
      <c r="D211" s="323"/>
      <c r="E211" s="299"/>
      <c r="F211" s="306"/>
    </row>
    <row r="212" spans="1:6">
      <c r="A212" s="306"/>
      <c r="B212" s="306"/>
      <c r="C212" s="299"/>
      <c r="D212" s="323"/>
      <c r="E212" s="299"/>
      <c r="F212" s="306"/>
    </row>
    <row r="213" spans="1:6">
      <c r="A213" s="306"/>
      <c r="B213" s="306"/>
      <c r="C213" s="299"/>
      <c r="D213" s="323"/>
      <c r="E213" s="299"/>
      <c r="F213" s="306"/>
    </row>
  </sheetData>
  <mergeCells count="1">
    <mergeCell ref="A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B664-B7A4-4C8E-92F1-D7717166FF47}">
  <dimension ref="A1:X29"/>
  <sheetViews>
    <sheetView workbookViewId="0">
      <selection activeCell="T11" sqref="T11"/>
    </sheetView>
  </sheetViews>
  <sheetFormatPr defaultRowHeight="15"/>
  <cols>
    <col min="1" max="1" width="18" customWidth="1"/>
    <col min="2" max="22" width="4" customWidth="1"/>
    <col min="23" max="23" width="5.5703125" customWidth="1"/>
    <col min="24" max="24" width="18.85546875" customWidth="1"/>
  </cols>
  <sheetData>
    <row r="1" spans="1:24" ht="26.25">
      <c r="A1" s="126" t="s">
        <v>77</v>
      </c>
    </row>
    <row r="2" spans="1:24" ht="54">
      <c r="A2" s="127">
        <v>2025</v>
      </c>
      <c r="B2" s="128" t="s">
        <v>78</v>
      </c>
      <c r="C2" s="128" t="s">
        <v>79</v>
      </c>
      <c r="D2" s="128" t="s">
        <v>80</v>
      </c>
      <c r="E2" s="128" t="s">
        <v>81</v>
      </c>
      <c r="F2" s="128" t="s">
        <v>82</v>
      </c>
      <c r="G2" s="128" t="s">
        <v>83</v>
      </c>
      <c r="H2" s="128" t="s">
        <v>84</v>
      </c>
      <c r="I2" s="128" t="s">
        <v>85</v>
      </c>
      <c r="J2" s="128" t="s">
        <v>86</v>
      </c>
      <c r="K2" s="129" t="s">
        <v>87</v>
      </c>
      <c r="L2" s="129" t="s">
        <v>17</v>
      </c>
      <c r="M2" s="129" t="s">
        <v>18</v>
      </c>
      <c r="N2" s="129" t="s">
        <v>19</v>
      </c>
      <c r="O2" s="129" t="s">
        <v>88</v>
      </c>
      <c r="P2" s="129" t="s">
        <v>21</v>
      </c>
      <c r="Q2" s="129" t="s">
        <v>22</v>
      </c>
      <c r="R2" s="129" t="s">
        <v>23</v>
      </c>
      <c r="S2" s="129" t="s">
        <v>24</v>
      </c>
      <c r="T2" s="129" t="s">
        <v>25</v>
      </c>
      <c r="U2" s="129" t="s">
        <v>26</v>
      </c>
      <c r="V2" s="130" t="s">
        <v>27</v>
      </c>
      <c r="W2" s="130" t="s">
        <v>89</v>
      </c>
      <c r="X2" s="131" t="s">
        <v>52</v>
      </c>
    </row>
    <row r="3" spans="1:24">
      <c r="A3" s="132" t="s">
        <v>90</v>
      </c>
      <c r="B3" s="133" t="s">
        <v>91</v>
      </c>
      <c r="C3" s="134"/>
      <c r="D3" s="134"/>
      <c r="E3" s="134"/>
      <c r="F3" s="134"/>
      <c r="G3" s="134"/>
      <c r="H3" s="134"/>
      <c r="I3" s="134"/>
      <c r="J3" s="135"/>
      <c r="K3" s="136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8"/>
      <c r="W3" s="138" t="s">
        <v>54</v>
      </c>
      <c r="X3" s="139"/>
    </row>
    <row r="4" spans="1:24">
      <c r="A4" s="147" t="s">
        <v>92</v>
      </c>
      <c r="B4" s="148" t="s">
        <v>91</v>
      </c>
      <c r="C4" s="149"/>
      <c r="D4" s="149"/>
      <c r="E4" s="149"/>
      <c r="F4" s="149"/>
      <c r="G4" s="149"/>
      <c r="H4" s="149"/>
      <c r="I4" s="149"/>
      <c r="J4" s="150"/>
      <c r="K4" s="151" t="s">
        <v>91</v>
      </c>
      <c r="L4" s="152" t="s">
        <v>91</v>
      </c>
      <c r="M4" s="152" t="s">
        <v>91</v>
      </c>
      <c r="N4" s="152" t="s">
        <v>91</v>
      </c>
      <c r="O4" s="152" t="s">
        <v>91</v>
      </c>
      <c r="P4" s="152" t="s">
        <v>91</v>
      </c>
      <c r="Q4" s="153" t="s">
        <v>91</v>
      </c>
      <c r="R4" s="153" t="s">
        <v>91</v>
      </c>
      <c r="S4" s="154" t="s">
        <v>91</v>
      </c>
      <c r="T4" s="152" t="s">
        <v>91</v>
      </c>
      <c r="U4" s="152" t="s">
        <v>91</v>
      </c>
      <c r="V4" s="152" t="s">
        <v>91</v>
      </c>
      <c r="W4" s="155" t="s">
        <v>54</v>
      </c>
      <c r="X4" s="156"/>
    </row>
    <row r="5" spans="1:24">
      <c r="A5" s="157"/>
      <c r="B5" s="158"/>
      <c r="C5" s="159"/>
      <c r="D5" s="159"/>
      <c r="E5" s="160" t="s">
        <v>91</v>
      </c>
      <c r="F5" s="159"/>
      <c r="G5" s="159"/>
      <c r="H5" s="159"/>
      <c r="I5" s="159"/>
      <c r="J5" s="161"/>
      <c r="K5" s="158"/>
      <c r="L5" s="162"/>
      <c r="M5" s="162"/>
      <c r="N5" s="162"/>
      <c r="O5" s="162"/>
      <c r="P5" s="162"/>
      <c r="Q5" s="163"/>
      <c r="R5" s="163" t="s">
        <v>93</v>
      </c>
      <c r="S5" s="164"/>
      <c r="T5" s="162"/>
      <c r="U5" s="162"/>
      <c r="V5" s="162"/>
      <c r="W5" s="165"/>
      <c r="X5" s="262" t="s">
        <v>64</v>
      </c>
    </row>
    <row r="6" spans="1:24">
      <c r="A6" s="166"/>
      <c r="B6" s="167"/>
      <c r="C6" s="168"/>
      <c r="D6" s="168"/>
      <c r="E6" s="169" t="s">
        <v>91</v>
      </c>
      <c r="F6" s="168"/>
      <c r="G6" s="168"/>
      <c r="H6" s="168"/>
      <c r="I6" s="168"/>
      <c r="J6" s="170"/>
      <c r="K6" s="281"/>
      <c r="L6" s="282"/>
      <c r="M6" s="282"/>
      <c r="N6" s="282"/>
      <c r="O6" s="282"/>
      <c r="P6" s="282"/>
      <c r="Q6" s="283" t="s">
        <v>94</v>
      </c>
      <c r="R6" s="284"/>
      <c r="S6" s="285"/>
      <c r="T6" s="282"/>
      <c r="U6" s="282"/>
      <c r="V6" s="282"/>
      <c r="W6" s="286"/>
      <c r="X6" s="267" t="s">
        <v>60</v>
      </c>
    </row>
    <row r="7" spans="1:24">
      <c r="A7" s="173" t="s">
        <v>95</v>
      </c>
      <c r="B7" s="174"/>
      <c r="C7" s="175" t="s">
        <v>91</v>
      </c>
      <c r="D7" s="174"/>
      <c r="E7" s="174"/>
      <c r="F7" s="174"/>
      <c r="G7" s="174"/>
      <c r="H7" s="174"/>
      <c r="I7" s="174"/>
      <c r="J7" s="278"/>
      <c r="K7" s="270"/>
      <c r="L7" s="271" t="s">
        <v>91</v>
      </c>
      <c r="M7" s="271"/>
      <c r="N7" s="271"/>
      <c r="O7" s="271" t="s">
        <v>91</v>
      </c>
      <c r="P7" s="271"/>
      <c r="Q7" s="271"/>
      <c r="R7" s="271" t="s">
        <v>91</v>
      </c>
      <c r="S7" s="271"/>
      <c r="T7" s="271"/>
      <c r="U7" s="271" t="s">
        <v>91</v>
      </c>
      <c r="V7" s="272"/>
      <c r="W7" s="273" t="s">
        <v>54</v>
      </c>
      <c r="X7" s="280"/>
    </row>
    <row r="8" spans="1:24">
      <c r="A8" s="173" t="s">
        <v>96</v>
      </c>
      <c r="B8" s="180"/>
      <c r="C8" s="180"/>
      <c r="D8" s="180"/>
      <c r="E8" s="181"/>
      <c r="F8" s="182" t="s">
        <v>91</v>
      </c>
      <c r="G8" s="180"/>
      <c r="H8" s="180"/>
      <c r="I8" s="180"/>
      <c r="J8" s="279"/>
      <c r="K8" s="274"/>
      <c r="L8" s="275"/>
      <c r="M8" s="275"/>
      <c r="N8" s="275"/>
      <c r="O8" s="275"/>
      <c r="P8" s="275"/>
      <c r="Q8" s="275"/>
      <c r="R8" s="275" t="s">
        <v>93</v>
      </c>
      <c r="S8" s="275"/>
      <c r="T8" s="275"/>
      <c r="U8" s="275"/>
      <c r="V8" s="276"/>
      <c r="W8" s="277"/>
      <c r="X8" s="262" t="s">
        <v>64</v>
      </c>
    </row>
    <row r="9" spans="1:24">
      <c r="A9" s="147" t="s">
        <v>97</v>
      </c>
      <c r="B9" s="187"/>
      <c r="C9" s="188" t="s">
        <v>91</v>
      </c>
      <c r="D9" s="189"/>
      <c r="E9" s="149"/>
      <c r="F9" s="190"/>
      <c r="G9" s="189"/>
      <c r="H9" s="189"/>
      <c r="I9" s="189"/>
      <c r="J9" s="191"/>
      <c r="K9" s="287" t="s">
        <v>91</v>
      </c>
      <c r="L9" s="288"/>
      <c r="M9" s="288"/>
      <c r="N9" s="288" t="s">
        <v>91</v>
      </c>
      <c r="O9" s="288"/>
      <c r="P9" s="288"/>
      <c r="Q9" s="288" t="s">
        <v>91</v>
      </c>
      <c r="R9" s="288"/>
      <c r="S9" s="288"/>
      <c r="T9" s="288" t="s">
        <v>91</v>
      </c>
      <c r="U9" s="288"/>
      <c r="V9" s="288"/>
      <c r="W9" s="289" t="s">
        <v>54</v>
      </c>
      <c r="X9" s="193"/>
    </row>
    <row r="10" spans="1:24">
      <c r="A10" s="157" t="s">
        <v>98</v>
      </c>
      <c r="B10" s="194"/>
      <c r="C10" s="195"/>
      <c r="D10" s="195"/>
      <c r="E10" s="160" t="s">
        <v>91</v>
      </c>
      <c r="F10" s="196"/>
      <c r="G10" s="195"/>
      <c r="H10" s="195"/>
      <c r="I10" s="195"/>
      <c r="J10" s="197"/>
      <c r="K10" s="198"/>
      <c r="L10" s="162"/>
      <c r="M10" s="162"/>
      <c r="N10" s="162"/>
      <c r="O10" s="162"/>
      <c r="P10" s="162"/>
      <c r="Q10" s="162"/>
      <c r="R10" s="162" t="s">
        <v>93</v>
      </c>
      <c r="S10" s="164"/>
      <c r="T10" s="162"/>
      <c r="U10" s="162"/>
      <c r="V10" s="162"/>
      <c r="W10" s="165"/>
      <c r="X10" s="262" t="s">
        <v>64</v>
      </c>
    </row>
    <row r="11" spans="1:24">
      <c r="A11" s="166"/>
      <c r="B11" s="199"/>
      <c r="C11" s="200"/>
      <c r="D11" s="200"/>
      <c r="E11" s="169" t="s">
        <v>91</v>
      </c>
      <c r="F11" s="201"/>
      <c r="G11" s="200"/>
      <c r="H11" s="202"/>
      <c r="I11" s="200"/>
      <c r="J11" s="203"/>
      <c r="K11" s="204"/>
      <c r="L11" s="171"/>
      <c r="M11" s="171"/>
      <c r="N11" s="171"/>
      <c r="O11" s="171"/>
      <c r="P11" s="171"/>
      <c r="Q11" s="266" t="s">
        <v>94</v>
      </c>
      <c r="R11" s="171"/>
      <c r="S11" s="171"/>
      <c r="T11" s="171"/>
      <c r="U11" s="171"/>
      <c r="V11" s="171"/>
      <c r="W11" s="172"/>
      <c r="X11" s="267" t="s">
        <v>60</v>
      </c>
    </row>
    <row r="12" spans="1:24">
      <c r="A12" s="173" t="s">
        <v>99</v>
      </c>
      <c r="B12" s="205" t="s">
        <v>91</v>
      </c>
      <c r="C12" s="206"/>
      <c r="D12" s="206"/>
      <c r="E12" s="206"/>
      <c r="F12" s="207"/>
      <c r="G12" s="207"/>
      <c r="H12" s="207"/>
      <c r="I12" s="207"/>
      <c r="J12" s="208"/>
      <c r="K12" s="176" t="s">
        <v>91</v>
      </c>
      <c r="L12" s="177" t="s">
        <v>91</v>
      </c>
      <c r="M12" s="177" t="s">
        <v>91</v>
      </c>
      <c r="N12" s="177" t="s">
        <v>91</v>
      </c>
      <c r="O12" s="177" t="s">
        <v>91</v>
      </c>
      <c r="P12" s="177" t="s">
        <v>91</v>
      </c>
      <c r="Q12" s="177" t="s">
        <v>91</v>
      </c>
      <c r="R12" s="177" t="s">
        <v>91</v>
      </c>
      <c r="S12" s="177" t="s">
        <v>91</v>
      </c>
      <c r="T12" s="177" t="s">
        <v>91</v>
      </c>
      <c r="U12" s="177" t="s">
        <v>91</v>
      </c>
      <c r="V12" s="178" t="s">
        <v>91</v>
      </c>
      <c r="W12" s="178" t="s">
        <v>54</v>
      </c>
      <c r="X12" s="179"/>
    </row>
    <row r="13" spans="1:24">
      <c r="A13" s="173" t="s">
        <v>100</v>
      </c>
      <c r="B13" s="209"/>
      <c r="C13" s="209"/>
      <c r="D13" s="210" t="s">
        <v>91</v>
      </c>
      <c r="E13" s="209"/>
      <c r="F13" s="209"/>
      <c r="G13" s="209"/>
      <c r="H13" s="209"/>
      <c r="I13" s="209"/>
      <c r="J13" s="211"/>
      <c r="K13" s="212" t="s">
        <v>91</v>
      </c>
      <c r="L13" s="213"/>
      <c r="M13" s="213"/>
      <c r="N13" s="213"/>
      <c r="O13" s="213"/>
      <c r="P13" s="213"/>
      <c r="Q13" s="213" t="s">
        <v>91</v>
      </c>
      <c r="R13" s="213"/>
      <c r="S13" s="213"/>
      <c r="T13" s="213"/>
      <c r="U13" s="213"/>
      <c r="V13" s="214"/>
      <c r="W13" s="214" t="s">
        <v>54</v>
      </c>
      <c r="X13" s="215"/>
    </row>
    <row r="14" spans="1:24">
      <c r="A14" s="173"/>
      <c r="B14" s="209"/>
      <c r="C14" s="209"/>
      <c r="D14" s="209"/>
      <c r="E14" s="209"/>
      <c r="F14" s="216" t="s">
        <v>91</v>
      </c>
      <c r="G14" s="209"/>
      <c r="H14" s="209"/>
      <c r="I14" s="209"/>
      <c r="J14" s="211"/>
      <c r="K14" s="217"/>
      <c r="L14" s="218"/>
      <c r="M14" s="264"/>
      <c r="N14" s="218">
        <v>2024</v>
      </c>
      <c r="O14" s="218"/>
      <c r="P14" s="218"/>
      <c r="Q14" s="219"/>
      <c r="R14" s="218"/>
      <c r="S14" s="218"/>
      <c r="T14" s="218"/>
      <c r="U14" s="218"/>
      <c r="V14" s="220"/>
      <c r="W14" s="220"/>
      <c r="X14" s="268" t="s">
        <v>101</v>
      </c>
    </row>
    <row r="15" spans="1:24">
      <c r="A15" s="222"/>
      <c r="B15" s="223"/>
      <c r="C15" s="223"/>
      <c r="D15" s="223"/>
      <c r="E15" s="223"/>
      <c r="F15" s="223"/>
      <c r="G15" s="223"/>
      <c r="H15" s="224" t="s">
        <v>91</v>
      </c>
      <c r="I15" s="223"/>
      <c r="J15" s="225"/>
      <c r="K15" s="226"/>
      <c r="L15" s="227"/>
      <c r="M15" s="265"/>
      <c r="N15" s="227">
        <v>2024</v>
      </c>
      <c r="O15" s="227"/>
      <c r="P15" s="227"/>
      <c r="Q15" s="227"/>
      <c r="R15" s="227"/>
      <c r="S15" s="227"/>
      <c r="T15" s="227"/>
      <c r="U15" s="223"/>
      <c r="V15" s="228"/>
      <c r="W15" s="228"/>
      <c r="X15" s="269" t="s">
        <v>101</v>
      </c>
    </row>
    <row r="16" spans="1:24">
      <c r="A16" s="230" t="s">
        <v>40</v>
      </c>
      <c r="B16" s="189"/>
      <c r="D16" s="231" t="s">
        <v>91</v>
      </c>
      <c r="E16" s="233"/>
      <c r="F16" s="232"/>
      <c r="G16" s="232"/>
      <c r="H16" s="232"/>
      <c r="I16" s="232"/>
      <c r="J16" s="234"/>
      <c r="K16" s="235" t="s">
        <v>91</v>
      </c>
      <c r="L16" s="236"/>
      <c r="M16" s="236"/>
      <c r="N16" s="236" t="s">
        <v>91</v>
      </c>
      <c r="O16" s="236"/>
      <c r="P16" s="236"/>
      <c r="Q16" s="236" t="s">
        <v>91</v>
      </c>
      <c r="R16" s="236"/>
      <c r="S16" s="236"/>
      <c r="T16" s="236" t="s">
        <v>91</v>
      </c>
      <c r="U16" s="236"/>
      <c r="V16" s="237"/>
      <c r="W16" s="237" t="s">
        <v>54</v>
      </c>
      <c r="X16" s="238"/>
    </row>
    <row r="17" spans="1:24">
      <c r="A17" s="239"/>
      <c r="B17" s="209"/>
      <c r="C17" s="209"/>
      <c r="D17" s="240"/>
      <c r="E17" s="160" t="s">
        <v>91</v>
      </c>
      <c r="F17" s="241"/>
      <c r="G17" s="209"/>
      <c r="H17" s="209"/>
      <c r="I17" s="209"/>
      <c r="J17" s="211"/>
      <c r="K17" s="217"/>
      <c r="L17" s="218"/>
      <c r="M17" s="218"/>
      <c r="N17" s="218"/>
      <c r="O17" s="218"/>
      <c r="P17" s="218"/>
      <c r="Q17" s="218"/>
      <c r="R17" s="218"/>
      <c r="S17" s="218">
        <v>2025</v>
      </c>
      <c r="T17" s="218"/>
      <c r="U17" s="218"/>
      <c r="V17" s="220"/>
      <c r="W17" s="220"/>
      <c r="X17" s="221" t="s">
        <v>65</v>
      </c>
    </row>
    <row r="18" spans="1:24">
      <c r="A18" s="222"/>
      <c r="B18" s="223"/>
      <c r="C18" s="223"/>
      <c r="D18" s="223"/>
      <c r="E18" s="242"/>
      <c r="F18" s="223"/>
      <c r="G18" s="223"/>
      <c r="H18" s="223"/>
      <c r="I18" s="243" t="s">
        <v>91</v>
      </c>
      <c r="J18" s="225"/>
      <c r="K18" s="226"/>
      <c r="L18" s="227"/>
      <c r="M18" s="227"/>
      <c r="N18" s="227"/>
      <c r="O18" s="227"/>
      <c r="P18" s="227"/>
      <c r="Q18" s="227"/>
      <c r="R18" s="227"/>
      <c r="S18" s="227">
        <v>2025</v>
      </c>
      <c r="T18" s="227"/>
      <c r="U18" s="227"/>
      <c r="V18" s="228"/>
      <c r="W18" s="228"/>
      <c r="X18" s="229" t="s">
        <v>65</v>
      </c>
    </row>
    <row r="19" spans="1:24">
      <c r="A19" s="244" t="s">
        <v>42</v>
      </c>
      <c r="B19" s="248"/>
      <c r="C19" s="248"/>
      <c r="D19" s="248"/>
      <c r="E19" s="182" t="s">
        <v>91</v>
      </c>
      <c r="F19" s="248"/>
      <c r="G19" s="248"/>
      <c r="H19" s="248"/>
      <c r="I19" s="248"/>
      <c r="J19" s="249"/>
      <c r="K19" s="217"/>
      <c r="L19" s="218"/>
      <c r="M19" s="218"/>
      <c r="N19" s="218"/>
      <c r="O19" s="218"/>
      <c r="P19" s="218"/>
      <c r="Q19" s="218"/>
      <c r="R19" s="218"/>
      <c r="S19" s="218">
        <v>2025</v>
      </c>
      <c r="T19" s="218"/>
      <c r="U19" s="218"/>
      <c r="V19" s="220"/>
      <c r="W19" s="220"/>
      <c r="X19" s="221" t="s">
        <v>65</v>
      </c>
    </row>
    <row r="20" spans="1:24">
      <c r="A20" s="250"/>
      <c r="B20" s="180"/>
      <c r="C20" s="180"/>
      <c r="D20" s="180"/>
      <c r="E20" s="180"/>
      <c r="F20" s="180"/>
      <c r="G20" s="180"/>
      <c r="H20" s="180"/>
      <c r="I20" s="182" t="s">
        <v>91</v>
      </c>
      <c r="J20" s="251" t="s">
        <v>91</v>
      </c>
      <c r="K20" s="183"/>
      <c r="L20" s="184"/>
      <c r="M20" s="184"/>
      <c r="N20" s="184"/>
      <c r="O20" s="184"/>
      <c r="P20" s="184"/>
      <c r="Q20" s="184"/>
      <c r="R20" s="184"/>
      <c r="S20" s="184">
        <v>2024</v>
      </c>
      <c r="T20" s="184"/>
      <c r="U20" s="184"/>
      <c r="V20" s="185"/>
      <c r="W20" s="185"/>
      <c r="X20" s="186" t="s">
        <v>65</v>
      </c>
    </row>
    <row r="21" spans="1:24">
      <c r="A21" s="252" t="s">
        <v>44</v>
      </c>
      <c r="B21" s="189"/>
      <c r="C21" s="189"/>
      <c r="D21" s="189"/>
      <c r="E21" s="148" t="s">
        <v>91</v>
      </c>
      <c r="F21" s="189"/>
      <c r="G21" s="189"/>
      <c r="H21" s="189"/>
      <c r="I21" s="189"/>
      <c r="J21" s="191"/>
      <c r="K21" s="192" t="s">
        <v>91</v>
      </c>
      <c r="L21" s="152"/>
      <c r="M21" s="152"/>
      <c r="N21" s="152" t="s">
        <v>91</v>
      </c>
      <c r="O21" s="152"/>
      <c r="P21" s="152"/>
      <c r="Q21" s="152" t="s">
        <v>91</v>
      </c>
      <c r="R21" s="152"/>
      <c r="S21" s="152"/>
      <c r="T21" s="152" t="s">
        <v>91</v>
      </c>
      <c r="U21" s="152"/>
      <c r="V21" s="152"/>
      <c r="W21" s="152" t="s">
        <v>54</v>
      </c>
      <c r="X21" s="253"/>
    </row>
    <row r="22" spans="1:24">
      <c r="A22" s="254"/>
      <c r="B22" s="255"/>
      <c r="C22" s="256"/>
      <c r="D22" s="256"/>
      <c r="E22" s="257" t="s">
        <v>91</v>
      </c>
      <c r="F22" s="256"/>
      <c r="G22" s="256"/>
      <c r="H22" s="256"/>
      <c r="I22" s="256"/>
      <c r="J22" s="258"/>
      <c r="K22" s="259"/>
      <c r="L22" s="260"/>
      <c r="M22" s="260"/>
      <c r="N22" s="260"/>
      <c r="O22" s="260"/>
      <c r="P22" s="260"/>
      <c r="Q22" s="260"/>
      <c r="R22" s="260"/>
      <c r="S22" s="466">
        <v>2024</v>
      </c>
      <c r="T22" s="260"/>
      <c r="U22" s="260"/>
      <c r="V22" s="260"/>
      <c r="W22" s="260"/>
      <c r="X22" s="261" t="s">
        <v>65</v>
      </c>
    </row>
    <row r="23" spans="1:24">
      <c r="A23" s="1"/>
      <c r="B23" s="1"/>
      <c r="C23" s="1"/>
      <c r="D23" s="1"/>
      <c r="E23" s="1"/>
      <c r="F23" s="1"/>
      <c r="G23" s="1"/>
      <c r="H23" s="1"/>
      <c r="I23" s="1"/>
      <c r="J23" s="1"/>
      <c r="W23" s="17"/>
    </row>
    <row r="24" spans="1:24">
      <c r="A24" s="16" t="s">
        <v>102</v>
      </c>
      <c r="C24" s="1"/>
      <c r="D24" s="93" t="s">
        <v>91</v>
      </c>
      <c r="E24" s="1"/>
      <c r="F24" s="1"/>
      <c r="G24" s="1"/>
      <c r="H24" s="1"/>
      <c r="I24" s="1"/>
      <c r="J24" s="1"/>
      <c r="W24" s="17"/>
    </row>
    <row r="25" spans="1:24">
      <c r="A25" s="16" t="s">
        <v>103</v>
      </c>
      <c r="C25" s="1"/>
      <c r="D25" s="94" t="s">
        <v>91</v>
      </c>
      <c r="E25" s="1"/>
      <c r="F25" s="1"/>
      <c r="G25" s="1"/>
      <c r="H25" s="1"/>
      <c r="J25" s="1"/>
      <c r="W25" s="17"/>
    </row>
    <row r="26" spans="1:24">
      <c r="A26" s="16" t="s">
        <v>104</v>
      </c>
      <c r="C26" s="1"/>
      <c r="D26" s="95" t="s">
        <v>91</v>
      </c>
      <c r="E26" s="1"/>
      <c r="F26" s="1"/>
      <c r="G26" s="1"/>
      <c r="H26" s="1"/>
      <c r="I26" s="1"/>
      <c r="J26" s="1"/>
      <c r="W26" s="17"/>
    </row>
    <row r="27" spans="1:24">
      <c r="A27" s="16" t="s">
        <v>105</v>
      </c>
      <c r="C27" s="1"/>
      <c r="D27" s="95" t="s">
        <v>91</v>
      </c>
      <c r="E27" s="1"/>
      <c r="F27" s="1"/>
      <c r="G27" s="1"/>
      <c r="H27" s="1"/>
      <c r="I27" s="1"/>
      <c r="J27" s="1"/>
      <c r="W27" s="17"/>
    </row>
    <row r="28" spans="1:24" ht="13.5" customHeight="1">
      <c r="A28" s="1" t="s">
        <v>106</v>
      </c>
      <c r="D28" s="96" t="s">
        <v>91</v>
      </c>
      <c r="H28" s="472" t="s">
        <v>107</v>
      </c>
    </row>
    <row r="29" spans="1:24" ht="19.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4CCE-8ED8-4323-BB57-3A7684F021C5}">
  <sheetPr>
    <pageSetUpPr fitToPage="1"/>
  </sheetPr>
  <dimension ref="A1:E206"/>
  <sheetViews>
    <sheetView workbookViewId="0">
      <selection activeCell="C22" sqref="C22"/>
    </sheetView>
  </sheetViews>
  <sheetFormatPr defaultRowHeight="15"/>
  <cols>
    <col min="1" max="2" width="11.140625" customWidth="1"/>
    <col min="3" max="3" width="38.140625" customWidth="1"/>
    <col min="4" max="4" width="31.28515625" customWidth="1"/>
    <col min="5" max="5" width="16" customWidth="1"/>
  </cols>
  <sheetData>
    <row r="1" spans="1:5">
      <c r="A1" s="102"/>
      <c r="B1" s="102"/>
      <c r="D1" s="103"/>
      <c r="E1" s="102"/>
    </row>
    <row r="2" spans="1:5" s="98" customFormat="1" ht="23.25">
      <c r="C2" s="476" t="s">
        <v>108</v>
      </c>
      <c r="E2" s="477"/>
    </row>
    <row r="3" spans="1:5">
      <c r="A3" s="102"/>
      <c r="B3" s="102"/>
      <c r="C3" s="102"/>
      <c r="D3" s="116"/>
      <c r="E3" s="102"/>
    </row>
    <row r="4" spans="1:5" s="472" customFormat="1" ht="18.75">
      <c r="A4" s="478" t="s">
        <v>15</v>
      </c>
      <c r="B4" s="478"/>
      <c r="C4" s="478" t="s">
        <v>109</v>
      </c>
      <c r="D4" s="478" t="s">
        <v>110</v>
      </c>
      <c r="E4" s="478" t="s">
        <v>50</v>
      </c>
    </row>
    <row r="5" spans="1:5" s="472" customFormat="1" ht="18.75">
      <c r="A5" s="563">
        <v>2025</v>
      </c>
      <c r="B5" s="564"/>
      <c r="C5" s="564"/>
      <c r="D5" s="564"/>
      <c r="E5" s="565"/>
    </row>
    <row r="6" spans="1:5">
      <c r="A6" s="298"/>
      <c r="B6" s="298"/>
      <c r="C6" s="306"/>
      <c r="D6" s="299"/>
      <c r="E6" s="306"/>
    </row>
    <row r="7" spans="1:5">
      <c r="A7" s="298"/>
      <c r="B7" s="298"/>
      <c r="C7" s="306"/>
      <c r="D7" s="299"/>
      <c r="E7" s="306"/>
    </row>
    <row r="8" spans="1:5">
      <c r="A8" s="307"/>
      <c r="B8" s="307"/>
      <c r="C8" s="330"/>
      <c r="D8" s="331"/>
      <c r="E8" s="330"/>
    </row>
    <row r="9" spans="1:5">
      <c r="A9" s="298"/>
      <c r="B9" s="298"/>
      <c r="C9" s="306"/>
      <c r="D9" s="323"/>
      <c r="E9" s="306"/>
    </row>
    <row r="10" spans="1:5">
      <c r="A10" s="298"/>
      <c r="B10" s="298"/>
      <c r="C10" s="306"/>
      <c r="D10" s="323"/>
      <c r="E10" s="306"/>
    </row>
    <row r="11" spans="1:5">
      <c r="A11" s="298"/>
      <c r="B11" s="298"/>
      <c r="C11" s="306"/>
      <c r="D11" s="323"/>
      <c r="E11" s="330"/>
    </row>
    <row r="12" spans="1:5">
      <c r="A12" s="298"/>
      <c r="B12" s="298"/>
      <c r="C12" s="306"/>
      <c r="D12" s="323"/>
      <c r="E12" s="306"/>
    </row>
    <row r="13" spans="1:5">
      <c r="A13" s="326"/>
      <c r="B13" s="326"/>
      <c r="C13" s="327"/>
      <c r="D13" s="329"/>
      <c r="E13" s="306"/>
    </row>
    <row r="14" spans="1:5">
      <c r="A14" s="320"/>
      <c r="B14" s="326"/>
      <c r="C14" s="306"/>
      <c r="D14" s="322"/>
      <c r="E14" s="330"/>
    </row>
    <row r="15" spans="1:5">
      <c r="A15" s="298"/>
      <c r="B15" s="326"/>
      <c r="C15" s="330"/>
      <c r="D15" s="311"/>
      <c r="E15" s="306"/>
    </row>
    <row r="16" spans="1:5">
      <c r="A16" s="326"/>
      <c r="B16" s="326"/>
      <c r="C16" s="306"/>
      <c r="D16" s="311"/>
      <c r="E16" s="306"/>
    </row>
    <row r="17" spans="1:5">
      <c r="A17" s="104"/>
      <c r="B17" s="326"/>
      <c r="C17" s="306"/>
      <c r="D17" s="311"/>
      <c r="E17" s="330"/>
    </row>
    <row r="18" spans="1:5">
      <c r="A18" s="104"/>
      <c r="B18" s="326"/>
      <c r="C18" s="306"/>
      <c r="D18" s="311"/>
      <c r="E18" s="330"/>
    </row>
    <row r="19" spans="1:5">
      <c r="A19" s="104"/>
      <c r="B19" s="326"/>
      <c r="C19" s="306"/>
      <c r="D19" s="311"/>
      <c r="E19" s="306"/>
    </row>
    <row r="20" spans="1:5">
      <c r="A20" s="104"/>
      <c r="B20" s="326"/>
      <c r="C20" s="327"/>
      <c r="D20" s="311"/>
      <c r="E20" s="306"/>
    </row>
    <row r="21" spans="1:5">
      <c r="A21" s="104"/>
      <c r="B21" s="326"/>
      <c r="C21" s="306"/>
      <c r="D21" s="311"/>
      <c r="E21" s="330"/>
    </row>
    <row r="22" spans="1:5">
      <c r="A22" s="104"/>
      <c r="B22" s="326"/>
      <c r="C22" s="330"/>
      <c r="D22" s="311"/>
      <c r="E22" s="306"/>
    </row>
    <row r="23" spans="1:5">
      <c r="A23" s="104"/>
      <c r="B23" s="326"/>
      <c r="C23" s="306"/>
      <c r="D23" s="311"/>
      <c r="E23" s="306"/>
    </row>
    <row r="24" spans="1:5">
      <c r="A24" s="325"/>
      <c r="B24" s="326"/>
      <c r="C24" s="349"/>
      <c r="D24" s="107"/>
      <c r="E24" s="467"/>
    </row>
    <row r="25" spans="1:5">
      <c r="A25" s="104"/>
      <c r="B25" s="326"/>
      <c r="C25" s="102"/>
      <c r="D25" s="311"/>
      <c r="E25" s="306"/>
    </row>
    <row r="26" spans="1:5">
      <c r="A26" s="104"/>
      <c r="B26" s="326"/>
      <c r="C26" s="105"/>
      <c r="D26" s="311"/>
      <c r="E26" s="306"/>
    </row>
    <row r="27" spans="1:5">
      <c r="A27" s="104"/>
      <c r="B27" s="326"/>
      <c r="C27" s="105"/>
      <c r="D27" s="311"/>
      <c r="E27" s="306"/>
    </row>
    <row r="28" spans="1:5">
      <c r="A28" s="104"/>
      <c r="B28" s="326"/>
      <c r="C28" s="306"/>
      <c r="D28" s="311"/>
      <c r="E28" s="330"/>
    </row>
    <row r="29" spans="1:5">
      <c r="A29" s="104"/>
      <c r="B29" s="481"/>
      <c r="C29" s="306"/>
      <c r="D29" s="311"/>
      <c r="E29" s="330"/>
    </row>
    <row r="30" spans="1:5">
      <c r="A30" s="104"/>
      <c r="B30" s="104"/>
      <c r="C30" s="105"/>
      <c r="D30" s="311"/>
      <c r="E30" s="306"/>
    </row>
    <row r="31" spans="1:5">
      <c r="A31" s="104"/>
      <c r="B31" s="104"/>
      <c r="C31" s="105"/>
      <c r="D31" s="309"/>
      <c r="E31" s="306"/>
    </row>
    <row r="32" spans="1:5">
      <c r="A32" s="298"/>
      <c r="B32" s="298"/>
      <c r="C32" s="306"/>
      <c r="D32" s="345"/>
      <c r="E32" s="306"/>
    </row>
    <row r="33" spans="1:5">
      <c r="A33" s="298"/>
      <c r="B33" s="298"/>
      <c r="C33" s="306"/>
      <c r="D33" s="358"/>
      <c r="E33" s="468"/>
    </row>
    <row r="34" spans="1:5">
      <c r="A34" s="298"/>
      <c r="B34" s="298"/>
      <c r="C34" s="306"/>
      <c r="D34" s="310"/>
      <c r="E34" s="105"/>
    </row>
    <row r="35" spans="1:5">
      <c r="A35" s="298"/>
      <c r="B35" s="298"/>
      <c r="C35" s="306"/>
      <c r="D35" s="310"/>
      <c r="E35" s="105"/>
    </row>
    <row r="36" spans="1:5">
      <c r="A36" s="464"/>
      <c r="B36" s="464"/>
      <c r="C36" s="360"/>
      <c r="D36" s="362"/>
      <c r="E36" s="120"/>
    </row>
    <row r="37" spans="1:5">
      <c r="A37" s="298"/>
      <c r="B37" s="298"/>
      <c r="C37" s="306"/>
      <c r="D37" s="310"/>
      <c r="E37" s="105"/>
    </row>
    <row r="38" spans="1:5">
      <c r="A38" s="298"/>
      <c r="B38" s="298"/>
      <c r="C38" s="306"/>
      <c r="D38" s="310"/>
      <c r="E38" s="105"/>
    </row>
    <row r="39" spans="1:5">
      <c r="A39" s="298"/>
      <c r="B39" s="298"/>
      <c r="C39" s="306"/>
      <c r="D39" s="310"/>
      <c r="E39" s="105"/>
    </row>
    <row r="40" spans="1:5">
      <c r="A40" s="464"/>
      <c r="B40" s="464"/>
      <c r="C40" s="360"/>
      <c r="D40" s="362"/>
      <c r="E40" s="120"/>
    </row>
    <row r="41" spans="1:5">
      <c r="A41" s="346"/>
      <c r="B41" s="346"/>
      <c r="C41" s="347"/>
      <c r="D41" s="304"/>
      <c r="E41" s="302"/>
    </row>
    <row r="42" spans="1:5">
      <c r="A42" s="298"/>
      <c r="B42" s="298"/>
      <c r="C42" s="360"/>
      <c r="D42" s="299"/>
      <c r="E42" s="360"/>
    </row>
    <row r="43" spans="1:5">
      <c r="A43" s="298"/>
      <c r="B43" s="298"/>
      <c r="C43" s="360"/>
      <c r="D43" s="299"/>
      <c r="E43" s="360"/>
    </row>
    <row r="44" spans="1:5">
      <c r="A44" s="298"/>
      <c r="B44" s="298"/>
      <c r="C44" s="360"/>
      <c r="D44" s="299"/>
      <c r="E44" s="360"/>
    </row>
    <row r="45" spans="1:5">
      <c r="A45" s="326"/>
      <c r="B45" s="326"/>
      <c r="C45" s="327"/>
      <c r="D45" s="328"/>
      <c r="E45" s="327"/>
    </row>
    <row r="46" spans="1:5">
      <c r="A46" s="298"/>
      <c r="B46" s="298"/>
      <c r="C46" s="306"/>
      <c r="D46" s="299"/>
      <c r="E46" s="306"/>
    </row>
    <row r="47" spans="1:5">
      <c r="A47" s="298"/>
      <c r="B47" s="298"/>
      <c r="C47" s="306"/>
      <c r="D47" s="299"/>
      <c r="E47" s="306"/>
    </row>
    <row r="48" spans="1:5">
      <c r="A48" s="298"/>
      <c r="B48" s="298"/>
      <c r="C48" s="306"/>
      <c r="D48" s="299"/>
      <c r="E48" s="306"/>
    </row>
    <row r="49" spans="1:5">
      <c r="A49" s="298"/>
      <c r="B49" s="298"/>
      <c r="C49" s="306"/>
      <c r="D49" s="323"/>
      <c r="E49" s="306"/>
    </row>
    <row r="50" spans="1:5">
      <c r="A50" s="298"/>
      <c r="B50" s="298"/>
      <c r="C50" s="306"/>
      <c r="D50" s="323"/>
      <c r="E50" s="306"/>
    </row>
    <row r="51" spans="1:5">
      <c r="A51" s="320"/>
      <c r="B51" s="481"/>
      <c r="C51" s="102"/>
      <c r="D51" s="322"/>
      <c r="E51" s="320"/>
    </row>
    <row r="52" spans="1:5">
      <c r="A52" s="104"/>
      <c r="B52" s="104"/>
      <c r="C52" s="105"/>
      <c r="D52" s="311"/>
      <c r="E52" s="320"/>
    </row>
    <row r="53" spans="1:5">
      <c r="A53" s="104"/>
      <c r="B53" s="104"/>
      <c r="C53" s="105"/>
      <c r="D53" s="311"/>
      <c r="E53" s="105"/>
    </row>
    <row r="54" spans="1:5">
      <c r="A54" s="298"/>
      <c r="B54" s="298"/>
      <c r="C54" s="306"/>
      <c r="D54" s="323"/>
      <c r="E54" s="469"/>
    </row>
    <row r="55" spans="1:5">
      <c r="A55" s="104"/>
      <c r="B55" s="104"/>
      <c r="C55" s="105"/>
      <c r="D55" s="311"/>
      <c r="E55" s="469"/>
    </row>
    <row r="56" spans="1:5">
      <c r="A56" s="104"/>
      <c r="B56" s="104"/>
      <c r="C56" s="105"/>
      <c r="D56" s="311"/>
      <c r="E56" s="469"/>
    </row>
    <row r="57" spans="1:5">
      <c r="A57" s="104"/>
      <c r="B57" s="481"/>
      <c r="C57" s="102"/>
      <c r="D57" s="311"/>
      <c r="E57" s="469"/>
    </row>
    <row r="58" spans="1:5">
      <c r="A58" s="104"/>
      <c r="B58" s="104"/>
      <c r="C58" s="105"/>
      <c r="D58" s="311"/>
      <c r="E58" s="469"/>
    </row>
    <row r="59" spans="1:5">
      <c r="A59" s="104"/>
      <c r="B59" s="104"/>
      <c r="C59" s="105"/>
      <c r="D59" s="107"/>
      <c r="E59" s="469"/>
    </row>
    <row r="60" spans="1:5">
      <c r="A60" s="104"/>
      <c r="B60" s="104"/>
      <c r="C60" s="105"/>
      <c r="D60" s="311"/>
      <c r="E60" s="469"/>
    </row>
    <row r="61" spans="1:5">
      <c r="A61" s="464"/>
      <c r="B61" s="464"/>
      <c r="C61" s="360"/>
      <c r="D61" s="473"/>
      <c r="E61" s="469"/>
    </row>
    <row r="62" spans="1:5">
      <c r="A62" s="298"/>
      <c r="B62" s="298"/>
      <c r="C62" s="306"/>
      <c r="D62" s="344"/>
      <c r="E62" s="469"/>
    </row>
    <row r="63" spans="1:5">
      <c r="A63" s="298"/>
      <c r="B63" s="298"/>
      <c r="C63" s="306"/>
      <c r="D63" s="344"/>
      <c r="E63" s="469"/>
    </row>
    <row r="64" spans="1:5">
      <c r="A64" s="298"/>
      <c r="B64" s="298"/>
      <c r="C64" s="306"/>
      <c r="D64" s="344"/>
      <c r="E64" s="469"/>
    </row>
    <row r="65" spans="1:5">
      <c r="A65" s="298"/>
      <c r="B65" s="298"/>
      <c r="C65" s="306"/>
      <c r="D65" s="344"/>
      <c r="E65" s="306"/>
    </row>
    <row r="66" spans="1:5">
      <c r="A66" s="326"/>
      <c r="B66" s="326"/>
      <c r="C66" s="327"/>
      <c r="D66" s="329"/>
      <c r="E66" s="327"/>
    </row>
    <row r="67" spans="1:5">
      <c r="A67" s="298"/>
      <c r="B67" s="298"/>
      <c r="C67" s="306"/>
      <c r="D67" s="299"/>
      <c r="E67" s="306"/>
    </row>
    <row r="68" spans="1:5">
      <c r="A68" s="298"/>
      <c r="B68" s="298"/>
      <c r="C68" s="306"/>
      <c r="D68" s="323"/>
      <c r="E68" s="306"/>
    </row>
    <row r="69" spans="1:5">
      <c r="A69" s="306"/>
      <c r="B69" s="306"/>
      <c r="C69" s="306"/>
      <c r="D69" s="299"/>
      <c r="E69" s="306"/>
    </row>
    <row r="70" spans="1:5">
      <c r="A70" s="306"/>
      <c r="B70" s="306"/>
      <c r="C70" s="306"/>
      <c r="D70" s="299"/>
      <c r="E70" s="306"/>
    </row>
    <row r="71" spans="1:5">
      <c r="A71" s="306"/>
      <c r="B71" s="306"/>
      <c r="C71" s="306"/>
      <c r="D71" s="299"/>
      <c r="E71" s="306"/>
    </row>
    <row r="72" spans="1:5">
      <c r="A72" s="298"/>
      <c r="B72" s="298"/>
      <c r="C72" s="306"/>
      <c r="D72" s="323"/>
      <c r="E72" s="306"/>
    </row>
    <row r="73" spans="1:5">
      <c r="A73" s="298"/>
      <c r="B73" s="298"/>
      <c r="C73" s="306"/>
      <c r="D73" s="323"/>
      <c r="E73" s="306"/>
    </row>
    <row r="74" spans="1:5">
      <c r="A74" s="306"/>
      <c r="B74" s="306"/>
      <c r="C74" s="306"/>
      <c r="D74" s="323"/>
      <c r="E74" s="306"/>
    </row>
    <row r="75" spans="1:5">
      <c r="A75" s="306"/>
      <c r="B75" s="306"/>
      <c r="C75" s="306"/>
      <c r="D75" s="323"/>
      <c r="E75" s="306"/>
    </row>
    <row r="76" spans="1:5">
      <c r="A76" s="306"/>
      <c r="B76" s="306"/>
      <c r="C76" s="306"/>
      <c r="D76" s="323"/>
      <c r="E76" s="306"/>
    </row>
    <row r="77" spans="1:5">
      <c r="A77" s="306"/>
      <c r="B77" s="306"/>
      <c r="C77" s="306"/>
      <c r="D77" s="323"/>
      <c r="E77" s="306"/>
    </row>
    <row r="78" spans="1:5">
      <c r="A78" s="330"/>
      <c r="B78" s="330"/>
      <c r="C78" s="330"/>
      <c r="D78" s="331"/>
      <c r="E78" s="330"/>
    </row>
    <row r="79" spans="1:5">
      <c r="A79" s="306"/>
      <c r="B79" s="306"/>
      <c r="C79" s="306"/>
      <c r="D79" s="299"/>
      <c r="E79" s="306"/>
    </row>
    <row r="80" spans="1:5">
      <c r="A80" s="306"/>
      <c r="B80" s="306"/>
      <c r="C80" s="306"/>
      <c r="D80" s="299"/>
      <c r="E80" s="306"/>
    </row>
    <row r="81" spans="1:5">
      <c r="A81" s="306"/>
      <c r="B81" s="306"/>
      <c r="C81" s="306"/>
      <c r="D81" s="299"/>
      <c r="E81" s="306"/>
    </row>
    <row r="82" spans="1:5">
      <c r="A82" s="306"/>
      <c r="B82" s="306"/>
      <c r="C82" s="306"/>
      <c r="D82" s="299"/>
      <c r="E82" s="306"/>
    </row>
    <row r="83" spans="1:5">
      <c r="A83" s="306"/>
      <c r="B83" s="306"/>
      <c r="C83" s="306"/>
      <c r="D83" s="299"/>
      <c r="E83" s="306"/>
    </row>
    <row r="84" spans="1:5">
      <c r="A84" s="306"/>
      <c r="B84" s="306"/>
      <c r="C84" s="306"/>
      <c r="D84" s="299"/>
      <c r="E84" s="306"/>
    </row>
    <row r="85" spans="1:5">
      <c r="A85" s="306"/>
      <c r="B85" s="306"/>
      <c r="C85" s="306"/>
      <c r="D85" s="299"/>
      <c r="E85" s="306"/>
    </row>
    <row r="86" spans="1:5">
      <c r="A86" s="306"/>
      <c r="B86" s="306"/>
      <c r="C86" s="306"/>
      <c r="D86" s="323"/>
      <c r="E86" s="306"/>
    </row>
    <row r="87" spans="1:5">
      <c r="A87" s="306"/>
      <c r="B87" s="306"/>
      <c r="C87" s="306"/>
      <c r="D87" s="323"/>
      <c r="E87" s="306"/>
    </row>
    <row r="88" spans="1:5">
      <c r="A88" s="306"/>
      <c r="B88" s="306"/>
      <c r="C88" s="306"/>
      <c r="D88" s="323"/>
      <c r="E88" s="306"/>
    </row>
    <row r="89" spans="1:5">
      <c r="A89" s="330"/>
      <c r="B89" s="330"/>
      <c r="C89" s="330"/>
      <c r="D89" s="331"/>
      <c r="E89" s="330"/>
    </row>
    <row r="90" spans="1:5">
      <c r="A90" s="306"/>
      <c r="B90" s="306"/>
      <c r="C90" s="306"/>
      <c r="D90" s="323"/>
      <c r="E90" s="306"/>
    </row>
    <row r="91" spans="1:5">
      <c r="A91" s="330"/>
      <c r="B91" s="330"/>
      <c r="C91" s="330"/>
      <c r="D91" s="331"/>
      <c r="E91" s="330"/>
    </row>
    <row r="92" spans="1:5">
      <c r="A92" s="104"/>
      <c r="B92" s="104"/>
      <c r="C92" s="105"/>
      <c r="D92" s="311"/>
      <c r="E92" s="105"/>
    </row>
    <row r="93" spans="1:5">
      <c r="A93" s="104"/>
      <c r="B93" s="104"/>
      <c r="C93" s="105"/>
      <c r="D93" s="311"/>
      <c r="E93" s="105"/>
    </row>
    <row r="94" spans="1:5">
      <c r="A94" s="104"/>
      <c r="B94" s="481"/>
      <c r="C94" s="102"/>
      <c r="D94" s="311"/>
      <c r="E94" s="105"/>
    </row>
    <row r="95" spans="1:5">
      <c r="A95" s="104"/>
      <c r="B95" s="104"/>
      <c r="C95" s="105"/>
      <c r="D95" s="311"/>
      <c r="E95" s="105"/>
    </row>
    <row r="96" spans="1:5">
      <c r="A96" s="104"/>
      <c r="B96" s="104"/>
      <c r="C96" s="105"/>
      <c r="D96" s="311"/>
      <c r="E96" s="105"/>
    </row>
    <row r="97" spans="1:5">
      <c r="A97" s="104"/>
      <c r="B97" s="104"/>
      <c r="C97" s="105"/>
      <c r="D97" s="311"/>
      <c r="E97" s="105"/>
    </row>
    <row r="98" spans="1:5">
      <c r="A98" s="104"/>
      <c r="B98" s="104"/>
      <c r="C98" s="105"/>
      <c r="D98" s="311"/>
      <c r="E98" s="105"/>
    </row>
    <row r="99" spans="1:5">
      <c r="A99" s="105"/>
      <c r="B99" s="105"/>
      <c r="C99" s="105"/>
      <c r="D99" s="311"/>
      <c r="E99" s="105"/>
    </row>
    <row r="100" spans="1:5">
      <c r="A100" s="105"/>
      <c r="B100" s="105"/>
      <c r="C100" s="105"/>
      <c r="D100" s="311"/>
      <c r="E100" s="105"/>
    </row>
    <row r="101" spans="1:5">
      <c r="A101" s="105"/>
      <c r="B101" s="105"/>
      <c r="C101" s="105"/>
      <c r="D101" s="311"/>
      <c r="E101" s="105"/>
    </row>
    <row r="102" spans="1:5">
      <c r="A102" s="105"/>
      <c r="B102" s="105"/>
      <c r="C102" s="105"/>
      <c r="D102" s="311"/>
      <c r="E102" s="105"/>
    </row>
    <row r="103" spans="1:5">
      <c r="A103" s="105"/>
      <c r="B103" s="105"/>
      <c r="C103" s="105"/>
      <c r="D103" s="311"/>
      <c r="E103" s="105"/>
    </row>
    <row r="104" spans="1:5">
      <c r="A104" s="105"/>
      <c r="B104" s="105"/>
      <c r="C104" s="105"/>
      <c r="D104" s="311"/>
      <c r="E104" s="105"/>
    </row>
    <row r="105" spans="1:5">
      <c r="A105" s="105"/>
      <c r="B105" s="105"/>
      <c r="C105" s="105"/>
      <c r="D105" s="311"/>
      <c r="E105" s="105"/>
    </row>
    <row r="106" spans="1:5">
      <c r="A106" s="105"/>
      <c r="B106" s="105"/>
      <c r="C106" s="105"/>
      <c r="D106" s="311"/>
      <c r="E106" s="105"/>
    </row>
    <row r="107" spans="1:5">
      <c r="A107" s="105"/>
      <c r="B107" s="105"/>
      <c r="C107" s="105"/>
      <c r="D107" s="311"/>
      <c r="E107" s="105"/>
    </row>
    <row r="108" spans="1:5">
      <c r="A108" s="105"/>
      <c r="B108" s="105"/>
      <c r="C108" s="105"/>
      <c r="D108" s="311"/>
      <c r="E108" s="105"/>
    </row>
    <row r="109" spans="1:5">
      <c r="A109" s="105"/>
      <c r="B109" s="105"/>
      <c r="C109" s="105"/>
      <c r="D109" s="311"/>
      <c r="E109" s="105"/>
    </row>
    <row r="110" spans="1:5">
      <c r="A110" s="105"/>
      <c r="B110" s="105"/>
      <c r="C110" s="105"/>
      <c r="D110" s="311"/>
      <c r="E110" s="105"/>
    </row>
    <row r="111" spans="1:5">
      <c r="A111" s="105"/>
      <c r="B111" s="105"/>
      <c r="C111" s="105"/>
      <c r="D111" s="311"/>
      <c r="E111" s="105"/>
    </row>
    <row r="112" spans="1:5">
      <c r="A112" s="105"/>
      <c r="B112" s="105"/>
      <c r="C112" s="105"/>
      <c r="D112" s="311"/>
      <c r="E112" s="105"/>
    </row>
    <row r="113" spans="1:5">
      <c r="A113" s="306"/>
      <c r="B113" s="306"/>
      <c r="C113" s="306"/>
      <c r="D113" s="323"/>
      <c r="E113" s="306"/>
    </row>
    <row r="114" spans="1:5">
      <c r="A114" s="306"/>
      <c r="B114" s="306"/>
      <c r="C114" s="306"/>
      <c r="D114" s="323"/>
      <c r="E114" s="306"/>
    </row>
    <row r="115" spans="1:5">
      <c r="A115" s="306"/>
      <c r="B115" s="306"/>
      <c r="C115" s="306"/>
      <c r="D115" s="323"/>
      <c r="E115" s="306"/>
    </row>
    <row r="116" spans="1:5">
      <c r="A116" s="298"/>
      <c r="B116" s="298"/>
      <c r="C116" s="306"/>
      <c r="D116" s="311"/>
      <c r="E116" s="105"/>
    </row>
    <row r="117" spans="1:5">
      <c r="A117" s="307"/>
      <c r="B117" s="307"/>
      <c r="C117" s="330"/>
      <c r="D117" s="319"/>
      <c r="E117" s="302"/>
    </row>
    <row r="118" spans="1:5">
      <c r="A118" s="298"/>
      <c r="B118" s="298"/>
      <c r="C118" s="306"/>
      <c r="D118" s="323"/>
      <c r="E118" s="306"/>
    </row>
    <row r="119" spans="1:5">
      <c r="A119" s="298"/>
      <c r="B119" s="298"/>
      <c r="C119" s="306"/>
      <c r="D119" s="323"/>
      <c r="E119" s="306"/>
    </row>
    <row r="120" spans="1:5">
      <c r="A120" s="298"/>
      <c r="B120" s="298"/>
      <c r="C120" s="306"/>
      <c r="D120" s="323"/>
      <c r="E120" s="306"/>
    </row>
    <row r="121" spans="1:5">
      <c r="A121" s="298"/>
      <c r="B121" s="298"/>
      <c r="C121" s="306"/>
      <c r="D121" s="323"/>
      <c r="E121" s="306"/>
    </row>
    <row r="122" spans="1:5">
      <c r="A122" s="298"/>
      <c r="B122" s="298"/>
      <c r="C122" s="306"/>
      <c r="D122" s="323"/>
      <c r="E122" s="306"/>
    </row>
    <row r="123" spans="1:5">
      <c r="A123" s="298"/>
      <c r="B123" s="298"/>
      <c r="C123" s="306"/>
      <c r="D123" s="323"/>
      <c r="E123" s="306"/>
    </row>
    <row r="124" spans="1:5">
      <c r="A124" s="298"/>
      <c r="B124" s="298"/>
      <c r="C124" s="306"/>
      <c r="D124" s="323"/>
      <c r="E124" s="306"/>
    </row>
    <row r="125" spans="1:5">
      <c r="A125" s="298"/>
      <c r="B125" s="298"/>
      <c r="C125" s="306"/>
      <c r="D125" s="323"/>
      <c r="E125" s="306"/>
    </row>
    <row r="126" spans="1:5">
      <c r="A126" s="298"/>
      <c r="B126" s="298"/>
      <c r="C126" s="306"/>
      <c r="D126" s="323"/>
      <c r="E126" s="306"/>
    </row>
    <row r="127" spans="1:5">
      <c r="A127" s="298"/>
      <c r="B127" s="298"/>
      <c r="C127" s="306"/>
      <c r="D127" s="323"/>
      <c r="E127" s="306"/>
    </row>
    <row r="128" spans="1:5">
      <c r="A128" s="298"/>
      <c r="B128" s="298"/>
      <c r="C128" s="306"/>
      <c r="D128" s="323"/>
      <c r="E128" s="306"/>
    </row>
    <row r="129" spans="1:5">
      <c r="A129" s="298"/>
      <c r="B129" s="298"/>
      <c r="C129" s="306"/>
      <c r="D129" s="323"/>
      <c r="E129" s="306"/>
    </row>
    <row r="130" spans="1:5">
      <c r="A130" s="298"/>
      <c r="B130" s="298"/>
      <c r="C130" s="306"/>
      <c r="D130" s="323"/>
      <c r="E130" s="306"/>
    </row>
    <row r="131" spans="1:5">
      <c r="A131" s="298"/>
      <c r="B131" s="298"/>
      <c r="C131" s="306"/>
      <c r="D131" s="323"/>
      <c r="E131" s="306"/>
    </row>
    <row r="132" spans="1:5">
      <c r="A132" s="298"/>
      <c r="B132" s="298"/>
      <c r="C132" s="306"/>
      <c r="D132" s="323"/>
      <c r="E132" s="306"/>
    </row>
    <row r="133" spans="1:5">
      <c r="A133" s="298"/>
      <c r="B133" s="298"/>
      <c r="C133" s="306"/>
      <c r="D133" s="323"/>
      <c r="E133" s="306"/>
    </row>
    <row r="134" spans="1:5">
      <c r="A134" s="298"/>
      <c r="B134" s="298"/>
      <c r="C134" s="306"/>
      <c r="D134" s="323"/>
      <c r="E134" s="306"/>
    </row>
    <row r="135" spans="1:5">
      <c r="A135" s="298"/>
      <c r="B135" s="298"/>
      <c r="C135" s="306"/>
      <c r="D135" s="323"/>
      <c r="E135" s="306"/>
    </row>
    <row r="136" spans="1:5">
      <c r="A136" s="298"/>
      <c r="B136" s="298"/>
      <c r="C136" s="306"/>
      <c r="D136" s="323"/>
      <c r="E136" s="306"/>
    </row>
    <row r="137" spans="1:5">
      <c r="A137" s="298"/>
      <c r="B137" s="298"/>
      <c r="C137" s="306"/>
      <c r="D137" s="323"/>
      <c r="E137" s="306"/>
    </row>
    <row r="138" spans="1:5">
      <c r="A138" s="306"/>
      <c r="B138" s="306"/>
      <c r="C138" s="306"/>
      <c r="D138" s="323"/>
      <c r="E138" s="306"/>
    </row>
    <row r="139" spans="1:5">
      <c r="A139" s="306"/>
      <c r="B139" s="306"/>
      <c r="C139" s="306"/>
      <c r="D139" s="323"/>
      <c r="E139" s="306"/>
    </row>
    <row r="140" spans="1:5">
      <c r="A140" s="306"/>
      <c r="B140" s="306"/>
      <c r="C140" s="306"/>
      <c r="D140" s="323"/>
      <c r="E140" s="306"/>
    </row>
    <row r="141" spans="1:5">
      <c r="A141" s="306"/>
      <c r="B141" s="306"/>
      <c r="C141" s="306"/>
      <c r="D141" s="323"/>
      <c r="E141" s="306"/>
    </row>
    <row r="142" spans="1:5">
      <c r="A142" s="306"/>
      <c r="B142" s="306"/>
      <c r="C142" s="306"/>
      <c r="D142" s="323"/>
      <c r="E142" s="306"/>
    </row>
    <row r="143" spans="1:5">
      <c r="A143" s="306"/>
      <c r="B143" s="306"/>
      <c r="C143" s="306"/>
      <c r="D143" s="323"/>
      <c r="E143" s="306"/>
    </row>
    <row r="144" spans="1:5">
      <c r="A144" s="306"/>
      <c r="B144" s="306"/>
      <c r="C144" s="306"/>
      <c r="D144" s="323"/>
      <c r="E144" s="306"/>
    </row>
    <row r="145" spans="1:5">
      <c r="A145" s="306"/>
      <c r="B145" s="306"/>
      <c r="C145" s="306"/>
      <c r="D145" s="323"/>
      <c r="E145" s="306"/>
    </row>
    <row r="146" spans="1:5">
      <c r="A146" s="306"/>
      <c r="B146" s="306"/>
      <c r="C146" s="306"/>
      <c r="D146" s="323"/>
      <c r="E146" s="306"/>
    </row>
    <row r="147" spans="1:5">
      <c r="A147" s="306"/>
      <c r="B147" s="306"/>
      <c r="C147" s="306"/>
      <c r="D147" s="323"/>
      <c r="E147" s="306"/>
    </row>
    <row r="148" spans="1:5">
      <c r="A148" s="306"/>
      <c r="B148" s="306"/>
      <c r="C148" s="306"/>
      <c r="D148" s="323"/>
      <c r="E148" s="306"/>
    </row>
    <row r="149" spans="1:5">
      <c r="A149" s="306"/>
      <c r="B149" s="306"/>
      <c r="C149" s="306"/>
      <c r="D149" s="323"/>
      <c r="E149" s="306"/>
    </row>
    <row r="150" spans="1:5">
      <c r="A150" s="306"/>
      <c r="B150" s="306"/>
      <c r="C150" s="306"/>
      <c r="D150" s="323"/>
      <c r="E150" s="306"/>
    </row>
    <row r="151" spans="1:5">
      <c r="A151" s="306"/>
      <c r="B151" s="306"/>
      <c r="C151" s="306"/>
      <c r="D151" s="323"/>
      <c r="E151" s="306"/>
    </row>
    <row r="152" spans="1:5">
      <c r="A152" s="306"/>
      <c r="B152" s="306"/>
      <c r="C152" s="306"/>
      <c r="D152" s="323"/>
      <c r="E152" s="306"/>
    </row>
    <row r="153" spans="1:5">
      <c r="A153" s="306"/>
      <c r="B153" s="306"/>
      <c r="C153" s="306"/>
      <c r="D153" s="299"/>
      <c r="E153" s="306"/>
    </row>
    <row r="154" spans="1:5">
      <c r="A154" s="306"/>
      <c r="B154" s="306"/>
      <c r="C154" s="306"/>
      <c r="D154" s="299"/>
      <c r="E154" s="306"/>
    </row>
    <row r="155" spans="1:5">
      <c r="A155" s="306"/>
      <c r="B155" s="306"/>
      <c r="C155" s="306"/>
      <c r="D155" s="299"/>
      <c r="E155" s="306"/>
    </row>
    <row r="156" spans="1:5">
      <c r="A156" s="306"/>
      <c r="B156" s="306"/>
      <c r="C156" s="306"/>
      <c r="D156" s="299"/>
      <c r="E156" s="306"/>
    </row>
    <row r="157" spans="1:5">
      <c r="A157" s="306"/>
      <c r="B157" s="306"/>
      <c r="C157" s="306"/>
      <c r="D157" s="299"/>
      <c r="E157" s="306"/>
    </row>
    <row r="158" spans="1:5">
      <c r="A158" s="306"/>
      <c r="B158" s="306"/>
      <c r="C158" s="306"/>
      <c r="D158" s="299"/>
      <c r="E158" s="306"/>
    </row>
    <row r="159" spans="1:5">
      <c r="A159" s="306"/>
      <c r="B159" s="306"/>
      <c r="C159" s="306"/>
      <c r="D159" s="299"/>
      <c r="E159" s="306"/>
    </row>
    <row r="160" spans="1:5">
      <c r="A160" s="306"/>
      <c r="B160" s="306"/>
      <c r="C160" s="306"/>
      <c r="D160" s="323"/>
      <c r="E160" s="306"/>
    </row>
    <row r="161" spans="1:5">
      <c r="A161" s="306"/>
      <c r="B161" s="306"/>
      <c r="C161" s="306"/>
      <c r="D161" s="323"/>
      <c r="E161" s="306"/>
    </row>
    <row r="162" spans="1:5">
      <c r="A162" s="306"/>
      <c r="B162" s="306"/>
      <c r="C162" s="306"/>
      <c r="D162" s="323"/>
      <c r="E162" s="306"/>
    </row>
    <row r="163" spans="1:5">
      <c r="A163" s="306"/>
      <c r="B163" s="306"/>
      <c r="C163" s="306"/>
      <c r="D163" s="323"/>
      <c r="E163" s="306"/>
    </row>
    <row r="164" spans="1:5">
      <c r="A164" s="306"/>
      <c r="B164" s="306"/>
      <c r="C164" s="306"/>
      <c r="D164" s="323"/>
      <c r="E164" s="306"/>
    </row>
    <row r="165" spans="1:5">
      <c r="A165" s="306"/>
      <c r="B165" s="306"/>
      <c r="C165" s="306"/>
      <c r="D165" s="323"/>
      <c r="E165" s="306"/>
    </row>
    <row r="166" spans="1:5">
      <c r="A166" s="306"/>
      <c r="B166" s="306"/>
      <c r="C166" s="306"/>
      <c r="D166" s="323"/>
      <c r="E166" s="306"/>
    </row>
    <row r="167" spans="1:5">
      <c r="A167" s="306"/>
      <c r="B167" s="306"/>
      <c r="C167" s="306"/>
      <c r="D167" s="323"/>
      <c r="E167" s="306"/>
    </row>
    <row r="168" spans="1:5">
      <c r="A168" s="306"/>
      <c r="B168" s="306"/>
      <c r="C168" s="306"/>
      <c r="D168" s="323"/>
      <c r="E168" s="306"/>
    </row>
    <row r="169" spans="1:5">
      <c r="A169" s="306"/>
      <c r="B169" s="306"/>
      <c r="C169" s="306"/>
      <c r="D169" s="323"/>
      <c r="E169" s="306"/>
    </row>
    <row r="170" spans="1:5">
      <c r="A170" s="306"/>
      <c r="B170" s="306"/>
      <c r="C170" s="306"/>
      <c r="D170" s="323"/>
      <c r="E170" s="306"/>
    </row>
    <row r="171" spans="1:5">
      <c r="A171" s="306"/>
      <c r="B171" s="306"/>
      <c r="C171" s="306"/>
      <c r="D171" s="323"/>
      <c r="E171" s="306"/>
    </row>
    <row r="172" spans="1:5">
      <c r="A172" s="306"/>
      <c r="B172" s="306"/>
      <c r="C172" s="306"/>
      <c r="D172" s="323"/>
      <c r="E172" s="306"/>
    </row>
    <row r="173" spans="1:5">
      <c r="A173" s="306"/>
      <c r="B173" s="306"/>
      <c r="C173" s="306"/>
      <c r="D173" s="323"/>
      <c r="E173" s="306"/>
    </row>
    <row r="174" spans="1:5">
      <c r="A174" s="306"/>
      <c r="B174" s="306"/>
      <c r="C174" s="306"/>
      <c r="D174" s="323"/>
      <c r="E174" s="306"/>
    </row>
    <row r="175" spans="1:5">
      <c r="A175" s="306"/>
      <c r="B175" s="306"/>
      <c r="C175" s="306"/>
      <c r="D175" s="323"/>
      <c r="E175" s="306"/>
    </row>
    <row r="176" spans="1:5">
      <c r="A176" s="306"/>
      <c r="B176" s="306"/>
      <c r="C176" s="306"/>
      <c r="D176" s="323"/>
      <c r="E176" s="306"/>
    </row>
    <row r="177" spans="1:5">
      <c r="A177" s="306"/>
      <c r="B177" s="306"/>
      <c r="C177" s="306"/>
      <c r="D177" s="323"/>
      <c r="E177" s="306"/>
    </row>
    <row r="178" spans="1:5">
      <c r="A178" s="306"/>
      <c r="B178" s="306"/>
      <c r="C178" s="306"/>
      <c r="D178" s="323"/>
      <c r="E178" s="306"/>
    </row>
    <row r="179" spans="1:5">
      <c r="A179" s="306"/>
      <c r="B179" s="306"/>
      <c r="C179" s="306"/>
      <c r="D179" s="323"/>
      <c r="E179" s="306"/>
    </row>
    <row r="180" spans="1:5">
      <c r="A180" s="306"/>
      <c r="B180" s="306"/>
      <c r="C180" s="306"/>
      <c r="D180" s="323"/>
      <c r="E180" s="306"/>
    </row>
    <row r="181" spans="1:5">
      <c r="A181" s="306"/>
      <c r="B181" s="306"/>
      <c r="C181" s="306"/>
      <c r="D181" s="323"/>
      <c r="E181" s="306"/>
    </row>
    <row r="182" spans="1:5">
      <c r="A182" s="306"/>
      <c r="B182" s="306"/>
      <c r="C182" s="306"/>
      <c r="D182" s="323"/>
      <c r="E182" s="306"/>
    </row>
    <row r="183" spans="1:5">
      <c r="A183" s="306"/>
      <c r="B183" s="306"/>
      <c r="C183" s="306"/>
      <c r="D183" s="323"/>
      <c r="E183" s="306"/>
    </row>
    <row r="184" spans="1:5">
      <c r="A184" s="306"/>
      <c r="B184" s="306"/>
      <c r="C184" s="306"/>
      <c r="D184" s="323"/>
      <c r="E184" s="306"/>
    </row>
    <row r="185" spans="1:5">
      <c r="A185" s="306"/>
      <c r="B185" s="306"/>
      <c r="C185" s="306"/>
      <c r="D185" s="323"/>
      <c r="E185" s="306"/>
    </row>
    <row r="186" spans="1:5">
      <c r="A186" s="306"/>
      <c r="B186" s="306"/>
      <c r="C186" s="306"/>
      <c r="D186" s="323"/>
      <c r="E186" s="306"/>
    </row>
    <row r="187" spans="1:5">
      <c r="A187" s="306"/>
      <c r="B187" s="306"/>
      <c r="C187" s="306"/>
      <c r="D187" s="323"/>
      <c r="E187" s="306"/>
    </row>
    <row r="188" spans="1:5">
      <c r="A188" s="306"/>
      <c r="B188" s="306"/>
      <c r="C188" s="306"/>
      <c r="D188" s="323"/>
      <c r="E188" s="306"/>
    </row>
    <row r="189" spans="1:5">
      <c r="A189" s="306"/>
      <c r="B189" s="306"/>
      <c r="C189" s="306"/>
      <c r="D189" s="323"/>
      <c r="E189" s="306"/>
    </row>
    <row r="190" spans="1:5">
      <c r="A190" s="306"/>
      <c r="B190" s="306"/>
      <c r="C190" s="306"/>
      <c r="D190" s="323"/>
      <c r="E190" s="306"/>
    </row>
    <row r="191" spans="1:5">
      <c r="A191" s="306"/>
      <c r="B191" s="306"/>
      <c r="C191" s="306"/>
      <c r="D191" s="323"/>
      <c r="E191" s="306"/>
    </row>
    <row r="192" spans="1:5">
      <c r="A192" s="306"/>
      <c r="B192" s="306"/>
      <c r="C192" s="306"/>
      <c r="D192" s="323"/>
      <c r="E192" s="306"/>
    </row>
    <row r="193" spans="1:5">
      <c r="A193" s="306"/>
      <c r="B193" s="306"/>
      <c r="C193" s="306"/>
      <c r="D193" s="323"/>
      <c r="E193" s="306"/>
    </row>
    <row r="194" spans="1:5">
      <c r="A194" s="306"/>
      <c r="B194" s="306"/>
      <c r="C194" s="306"/>
      <c r="D194" s="323"/>
      <c r="E194" s="306"/>
    </row>
    <row r="195" spans="1:5">
      <c r="A195" s="306"/>
      <c r="B195" s="306"/>
      <c r="C195" s="306"/>
      <c r="D195" s="323"/>
      <c r="E195" s="306"/>
    </row>
    <row r="196" spans="1:5">
      <c r="A196" s="306"/>
      <c r="B196" s="306"/>
      <c r="C196" s="306"/>
      <c r="D196" s="323"/>
      <c r="E196" s="306"/>
    </row>
    <row r="197" spans="1:5">
      <c r="A197" s="306"/>
      <c r="B197" s="306"/>
      <c r="C197" s="306"/>
      <c r="D197" s="323"/>
      <c r="E197" s="306"/>
    </row>
    <row r="198" spans="1:5">
      <c r="A198" s="306"/>
      <c r="B198" s="306"/>
      <c r="C198" s="306"/>
      <c r="D198" s="323"/>
      <c r="E198" s="306"/>
    </row>
    <row r="199" spans="1:5">
      <c r="A199" s="306"/>
      <c r="B199" s="306"/>
      <c r="C199" s="306"/>
      <c r="D199" s="323"/>
      <c r="E199" s="306"/>
    </row>
    <row r="200" spans="1:5">
      <c r="A200" s="306"/>
      <c r="B200" s="306"/>
      <c r="C200" s="306"/>
      <c r="D200" s="323"/>
      <c r="E200" s="306"/>
    </row>
    <row r="201" spans="1:5">
      <c r="A201" s="306"/>
      <c r="B201" s="306"/>
      <c r="C201" s="306"/>
      <c r="D201" s="323"/>
      <c r="E201" s="306"/>
    </row>
    <row r="202" spans="1:5">
      <c r="A202" s="306"/>
      <c r="B202" s="306"/>
      <c r="C202" s="306"/>
      <c r="D202" s="323"/>
      <c r="E202" s="306"/>
    </row>
    <row r="203" spans="1:5">
      <c r="A203" s="306"/>
      <c r="B203" s="306"/>
      <c r="C203" s="306"/>
      <c r="D203" s="323"/>
      <c r="E203" s="306"/>
    </row>
    <row r="204" spans="1:5">
      <c r="A204" s="306"/>
      <c r="B204" s="306"/>
      <c r="C204" s="306"/>
      <c r="D204" s="323"/>
      <c r="E204" s="306"/>
    </row>
    <row r="205" spans="1:5">
      <c r="A205" s="306"/>
      <c r="B205" s="306"/>
      <c r="C205" s="306"/>
      <c r="D205" s="323"/>
      <c r="E205" s="306"/>
    </row>
    <row r="206" spans="1:5">
      <c r="A206" s="306"/>
      <c r="B206" s="306"/>
      <c r="C206" s="306"/>
      <c r="D206" s="323"/>
      <c r="E206" s="306"/>
    </row>
  </sheetData>
  <mergeCells count="1">
    <mergeCell ref="A5:E5"/>
  </mergeCells>
  <pageMargins left="0.7" right="0.7" top="0.75" bottom="0.75" header="0.3" footer="0.3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7036-DB9E-4BB6-9381-453E29F3F596}">
  <dimension ref="A1:V116"/>
  <sheetViews>
    <sheetView workbookViewId="0"/>
  </sheetViews>
  <sheetFormatPr defaultRowHeight="15"/>
  <cols>
    <col min="15" max="15" width="72.140625" customWidth="1"/>
  </cols>
  <sheetData>
    <row r="1" spans="1:22" ht="23.25">
      <c r="A1" s="98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482"/>
      <c r="N1" s="482"/>
      <c r="S1" s="483"/>
      <c r="T1" s="483"/>
      <c r="U1" s="483"/>
      <c r="V1" s="484"/>
    </row>
    <row r="2" spans="1:22" ht="90">
      <c r="A2" s="485"/>
      <c r="B2" s="2" t="s">
        <v>112</v>
      </c>
      <c r="C2" s="2" t="s">
        <v>113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85</v>
      </c>
      <c r="L2" s="2" t="s">
        <v>86</v>
      </c>
      <c r="M2" s="3" t="s">
        <v>114</v>
      </c>
      <c r="N2" s="486" t="s">
        <v>115</v>
      </c>
      <c r="O2" s="487" t="s">
        <v>116</v>
      </c>
      <c r="S2" s="483"/>
      <c r="T2" s="483"/>
      <c r="U2" s="483"/>
      <c r="V2" s="484"/>
    </row>
    <row r="3" spans="1:22">
      <c r="A3" s="88" t="s">
        <v>117</v>
      </c>
      <c r="B3" s="488"/>
      <c r="C3" s="488"/>
      <c r="D3" s="488"/>
      <c r="E3" s="488"/>
      <c r="F3" s="488"/>
      <c r="G3" s="489" t="s">
        <v>91</v>
      </c>
      <c r="H3" s="488"/>
      <c r="I3" s="488"/>
      <c r="J3" s="488"/>
      <c r="K3" s="488"/>
      <c r="L3" s="488"/>
      <c r="M3" s="33">
        <v>34</v>
      </c>
      <c r="N3" s="33" t="s">
        <v>118</v>
      </c>
      <c r="O3" s="490" t="s">
        <v>119</v>
      </c>
      <c r="S3" s="483"/>
      <c r="T3" s="483"/>
      <c r="U3" s="483"/>
      <c r="V3" s="484"/>
    </row>
    <row r="4" spans="1:22">
      <c r="A4" s="491" t="s">
        <v>90</v>
      </c>
      <c r="B4" s="33"/>
      <c r="C4" s="33"/>
      <c r="D4" s="33"/>
      <c r="E4" s="33"/>
      <c r="F4" s="33"/>
      <c r="G4" s="492" t="s">
        <v>91</v>
      </c>
      <c r="H4" s="33"/>
      <c r="I4" s="33"/>
      <c r="J4" s="33"/>
      <c r="K4" s="33"/>
      <c r="L4" s="33"/>
      <c r="M4" s="33">
        <v>35</v>
      </c>
      <c r="N4" s="33" t="s">
        <v>120</v>
      </c>
      <c r="O4" s="490" t="s">
        <v>121</v>
      </c>
      <c r="S4" s="483"/>
      <c r="T4" s="483"/>
      <c r="U4" s="483"/>
      <c r="V4" s="484"/>
    </row>
    <row r="5" spans="1:22">
      <c r="A5" s="493" t="s">
        <v>92</v>
      </c>
      <c r="B5" s="494"/>
      <c r="C5" s="494"/>
      <c r="D5" s="495" t="s">
        <v>91</v>
      </c>
      <c r="E5" s="494"/>
      <c r="F5" s="494"/>
      <c r="G5" s="494"/>
      <c r="H5" s="494"/>
      <c r="I5" s="494"/>
      <c r="J5" s="494"/>
      <c r="K5" s="494"/>
      <c r="L5" s="494"/>
      <c r="M5" s="494">
        <v>38</v>
      </c>
      <c r="N5" s="494" t="s">
        <v>122</v>
      </c>
      <c r="O5" s="496" t="s">
        <v>123</v>
      </c>
      <c r="S5" s="483"/>
      <c r="T5" s="483"/>
      <c r="U5" s="483"/>
      <c r="V5" s="484"/>
    </row>
    <row r="6" spans="1:22">
      <c r="A6" s="497" t="s">
        <v>124</v>
      </c>
      <c r="B6" s="8"/>
      <c r="C6" s="8"/>
      <c r="D6" s="498"/>
      <c r="E6" s="499" t="s">
        <v>91</v>
      </c>
      <c r="F6" s="8"/>
      <c r="G6" s="8"/>
      <c r="H6" s="8"/>
      <c r="I6" s="8"/>
      <c r="J6" s="8"/>
      <c r="K6" s="8"/>
      <c r="L6" s="8"/>
      <c r="M6" s="8">
        <v>40</v>
      </c>
      <c r="N6" s="8" t="s">
        <v>125</v>
      </c>
      <c r="O6" s="500" t="s">
        <v>126</v>
      </c>
      <c r="S6" s="483"/>
      <c r="T6" s="483"/>
      <c r="U6" s="483"/>
      <c r="V6" s="484"/>
    </row>
    <row r="7" spans="1:22">
      <c r="A7" s="501"/>
      <c r="B7" s="8"/>
      <c r="C7" s="8"/>
      <c r="D7" s="8"/>
      <c r="E7" s="8"/>
      <c r="F7" s="8"/>
      <c r="G7" s="502" t="s">
        <v>91</v>
      </c>
      <c r="H7" s="8"/>
      <c r="I7" s="8"/>
      <c r="J7" s="8"/>
      <c r="K7" s="8"/>
      <c r="L7" s="8"/>
      <c r="M7" s="8">
        <v>39</v>
      </c>
      <c r="N7" s="8" t="s">
        <v>127</v>
      </c>
      <c r="O7" s="500" t="s">
        <v>128</v>
      </c>
      <c r="S7" s="483"/>
      <c r="T7" s="483"/>
      <c r="U7" s="483"/>
      <c r="V7" s="484"/>
    </row>
    <row r="8" spans="1:22">
      <c r="A8" s="503"/>
      <c r="B8" s="57"/>
      <c r="C8" s="57"/>
      <c r="D8" s="57"/>
      <c r="E8" s="57"/>
      <c r="F8" s="57"/>
      <c r="G8" s="504" t="s">
        <v>91</v>
      </c>
      <c r="H8" s="57"/>
      <c r="I8" s="57"/>
      <c r="J8" s="57"/>
      <c r="K8" s="57"/>
      <c r="L8" s="57"/>
      <c r="M8" s="57">
        <v>39</v>
      </c>
      <c r="N8" s="57" t="s">
        <v>129</v>
      </c>
      <c r="O8" s="505" t="s">
        <v>130</v>
      </c>
      <c r="S8" s="483"/>
      <c r="T8" s="483"/>
      <c r="U8" s="483"/>
      <c r="V8" s="484"/>
    </row>
    <row r="9" spans="1:22">
      <c r="A9" s="506" t="s">
        <v>131</v>
      </c>
      <c r="B9" s="507"/>
      <c r="C9" s="507"/>
      <c r="D9" s="507"/>
      <c r="E9" s="508" t="s">
        <v>91</v>
      </c>
      <c r="F9" s="507"/>
      <c r="G9" s="509"/>
      <c r="H9" s="507"/>
      <c r="I9" s="507"/>
      <c r="J9" s="507"/>
      <c r="K9" s="507"/>
      <c r="L9" s="507"/>
      <c r="M9" s="507">
        <v>44</v>
      </c>
      <c r="N9" s="507" t="s">
        <v>132</v>
      </c>
      <c r="O9" s="510" t="s">
        <v>133</v>
      </c>
      <c r="S9" s="483"/>
      <c r="T9" s="483"/>
      <c r="U9" s="483"/>
      <c r="V9" s="484"/>
    </row>
    <row r="10" spans="1:22">
      <c r="A10" s="511"/>
      <c r="B10" s="8"/>
      <c r="C10" s="8"/>
      <c r="D10" s="8"/>
      <c r="E10" s="8"/>
      <c r="F10" s="8"/>
      <c r="G10" s="512" t="s">
        <v>91</v>
      </c>
      <c r="H10" s="8"/>
      <c r="I10" s="8"/>
      <c r="J10" s="8"/>
      <c r="K10" s="8"/>
      <c r="L10" s="8"/>
      <c r="M10" s="8">
        <v>44</v>
      </c>
      <c r="N10" s="8" t="s">
        <v>134</v>
      </c>
      <c r="O10" s="97" t="s">
        <v>135</v>
      </c>
      <c r="S10" s="483"/>
      <c r="T10" s="483"/>
      <c r="U10" s="483"/>
      <c r="V10" s="484"/>
    </row>
    <row r="11" spans="1:22">
      <c r="A11" s="513"/>
      <c r="B11" s="57"/>
      <c r="C11" s="57"/>
      <c r="D11" s="57"/>
      <c r="E11" s="57"/>
      <c r="F11" s="57"/>
      <c r="G11" s="514"/>
      <c r="H11" s="57"/>
      <c r="I11" s="57"/>
      <c r="J11" s="57"/>
      <c r="K11" s="57"/>
      <c r="L11" s="515" t="s">
        <v>91</v>
      </c>
      <c r="M11" s="57">
        <v>44</v>
      </c>
      <c r="N11" s="57" t="s">
        <v>136</v>
      </c>
      <c r="O11" s="516" t="s">
        <v>137</v>
      </c>
      <c r="S11" s="483"/>
      <c r="T11" s="483"/>
      <c r="U11" s="483"/>
      <c r="V11" s="484"/>
    </row>
    <row r="12" spans="1:22">
      <c r="A12" s="517" t="s">
        <v>138</v>
      </c>
      <c r="B12" s="518"/>
      <c r="C12" s="518"/>
      <c r="D12" s="518"/>
      <c r="E12" s="519" t="s">
        <v>91</v>
      </c>
      <c r="F12" s="518"/>
      <c r="G12" s="518"/>
      <c r="H12" s="518"/>
      <c r="I12" s="518"/>
      <c r="J12" s="518"/>
      <c r="K12" s="518"/>
      <c r="L12" s="518"/>
      <c r="M12" s="520">
        <v>44</v>
      </c>
      <c r="N12" s="520" t="s">
        <v>139</v>
      </c>
      <c r="O12" s="521" t="s">
        <v>133</v>
      </c>
      <c r="S12" s="483"/>
      <c r="T12" s="483"/>
      <c r="U12" s="483"/>
      <c r="V12" s="484"/>
    </row>
    <row r="13" spans="1:22">
      <c r="A13" s="522"/>
      <c r="B13" s="523"/>
      <c r="C13" s="523"/>
      <c r="D13" s="523"/>
      <c r="E13" s="523"/>
      <c r="F13" s="523"/>
      <c r="G13" s="57"/>
      <c r="H13" s="524" t="s">
        <v>91</v>
      </c>
      <c r="I13" s="523"/>
      <c r="J13" s="523"/>
      <c r="K13" s="523"/>
      <c r="L13" s="523"/>
      <c r="M13" s="57">
        <v>44</v>
      </c>
      <c r="N13" s="57" t="s">
        <v>140</v>
      </c>
      <c r="O13" s="505" t="s">
        <v>141</v>
      </c>
      <c r="S13" s="483"/>
      <c r="T13" s="483"/>
      <c r="U13" s="483"/>
      <c r="V13" s="484"/>
    </row>
    <row r="14" spans="1:22">
      <c r="A14" s="493" t="s">
        <v>97</v>
      </c>
      <c r="B14" s="494"/>
      <c r="C14" s="494"/>
      <c r="D14" s="494"/>
      <c r="E14" s="495" t="s">
        <v>91</v>
      </c>
      <c r="F14" s="494"/>
      <c r="G14" s="494"/>
      <c r="H14" s="494"/>
      <c r="I14" s="494"/>
      <c r="J14" s="494"/>
      <c r="K14" s="494"/>
      <c r="L14" s="494"/>
      <c r="M14" s="494">
        <v>40</v>
      </c>
      <c r="N14" s="494" t="s">
        <v>125</v>
      </c>
      <c r="O14" s="496" t="s">
        <v>142</v>
      </c>
      <c r="S14" s="483"/>
      <c r="T14" s="483"/>
      <c r="U14" s="483"/>
      <c r="V14" s="484"/>
    </row>
    <row r="15" spans="1:22">
      <c r="A15" s="497"/>
      <c r="B15" s="8"/>
      <c r="C15" s="8"/>
      <c r="D15" s="8"/>
      <c r="E15" s="8"/>
      <c r="F15" s="8"/>
      <c r="G15" s="8"/>
      <c r="H15" s="502" t="s">
        <v>91</v>
      </c>
      <c r="I15" s="8"/>
      <c r="J15" s="8"/>
      <c r="K15" s="8"/>
      <c r="L15" s="8"/>
      <c r="M15" s="8">
        <v>41</v>
      </c>
      <c r="N15" s="8" t="s">
        <v>143</v>
      </c>
      <c r="O15" s="500" t="s">
        <v>141</v>
      </c>
      <c r="S15" s="483"/>
      <c r="T15" s="483"/>
      <c r="U15" s="483"/>
      <c r="V15" s="484"/>
    </row>
    <row r="16" spans="1:22">
      <c r="A16" s="503"/>
      <c r="B16" s="57"/>
      <c r="C16" s="57"/>
      <c r="D16" s="57"/>
      <c r="E16" s="57"/>
      <c r="F16" s="57"/>
      <c r="G16" s="57"/>
      <c r="H16" s="57"/>
      <c r="I16" s="57"/>
      <c r="J16" s="504" t="s">
        <v>91</v>
      </c>
      <c r="K16" s="57"/>
      <c r="L16" s="57"/>
      <c r="M16" s="57">
        <v>41</v>
      </c>
      <c r="N16" s="57" t="s">
        <v>144</v>
      </c>
      <c r="O16" s="505" t="s">
        <v>130</v>
      </c>
      <c r="S16" s="483"/>
      <c r="T16" s="483"/>
      <c r="U16" s="483"/>
      <c r="V16" s="484"/>
    </row>
    <row r="17" spans="1:22">
      <c r="A17" s="493" t="s">
        <v>99</v>
      </c>
      <c r="B17" s="494"/>
      <c r="C17" s="494"/>
      <c r="D17" s="495" t="s">
        <v>91</v>
      </c>
      <c r="E17" s="494"/>
      <c r="F17" s="494"/>
      <c r="G17" s="494"/>
      <c r="H17" s="494"/>
      <c r="I17" s="494"/>
      <c r="J17" s="494"/>
      <c r="K17" s="494"/>
      <c r="L17" s="494"/>
      <c r="M17" s="494">
        <v>42</v>
      </c>
      <c r="N17" s="494" t="s">
        <v>145</v>
      </c>
      <c r="O17" s="496" t="s">
        <v>146</v>
      </c>
      <c r="S17" s="483"/>
      <c r="T17" s="483"/>
      <c r="U17" s="483"/>
      <c r="V17" s="484"/>
    </row>
    <row r="18" spans="1:22">
      <c r="A18" s="497" t="s">
        <v>100</v>
      </c>
      <c r="B18" s="8"/>
      <c r="C18" s="8"/>
      <c r="D18" s="8"/>
      <c r="E18" s="8"/>
      <c r="F18" s="525" t="s">
        <v>91</v>
      </c>
      <c r="G18" s="8"/>
      <c r="H18" s="8"/>
      <c r="I18" s="8"/>
      <c r="J18" s="8"/>
      <c r="K18" s="8"/>
      <c r="L18" s="8"/>
      <c r="M18" s="8">
        <v>42</v>
      </c>
      <c r="N18" s="8" t="s">
        <v>147</v>
      </c>
      <c r="O18" s="500" t="s">
        <v>148</v>
      </c>
      <c r="S18" s="483"/>
      <c r="T18" s="483"/>
      <c r="U18" s="483"/>
      <c r="V18" s="484"/>
    </row>
    <row r="19" spans="1:22">
      <c r="A19" s="497"/>
      <c r="B19" s="8"/>
      <c r="C19" s="8"/>
      <c r="D19" s="8"/>
      <c r="E19" s="8"/>
      <c r="F19" s="8"/>
      <c r="G19" s="8"/>
      <c r="H19" s="502" t="s">
        <v>91</v>
      </c>
      <c r="I19" s="8"/>
      <c r="J19" s="8"/>
      <c r="K19" s="8"/>
      <c r="L19" s="8"/>
      <c r="M19" s="8">
        <v>42</v>
      </c>
      <c r="N19" s="8" t="s">
        <v>149</v>
      </c>
      <c r="O19" s="500" t="s">
        <v>150</v>
      </c>
      <c r="S19" s="483"/>
      <c r="T19" s="483"/>
      <c r="U19" s="483"/>
      <c r="V19" s="484"/>
    </row>
    <row r="20" spans="1:22">
      <c r="A20" s="503"/>
      <c r="B20" s="57"/>
      <c r="C20" s="57"/>
      <c r="D20" s="57"/>
      <c r="E20" s="57"/>
      <c r="F20" s="57"/>
      <c r="G20" s="57"/>
      <c r="H20" s="57"/>
      <c r="I20" s="57"/>
      <c r="J20" s="504" t="s">
        <v>91</v>
      </c>
      <c r="K20" s="57"/>
      <c r="L20" s="57"/>
      <c r="M20" s="57">
        <v>42</v>
      </c>
      <c r="N20" s="57" t="s">
        <v>151</v>
      </c>
      <c r="O20" s="505" t="s">
        <v>130</v>
      </c>
      <c r="S20" s="483"/>
      <c r="T20" s="483"/>
      <c r="U20" s="483"/>
      <c r="V20" s="484"/>
    </row>
    <row r="21" spans="1:22">
      <c r="A21" s="493" t="s">
        <v>40</v>
      </c>
      <c r="B21" s="494"/>
      <c r="C21" s="494"/>
      <c r="E21" s="494"/>
      <c r="F21" s="526" t="s">
        <v>91</v>
      </c>
      <c r="G21" s="494"/>
      <c r="H21" s="494"/>
      <c r="I21" s="494"/>
      <c r="J21" s="494"/>
      <c r="K21" s="494"/>
      <c r="L21" s="494"/>
      <c r="M21" s="494">
        <v>42</v>
      </c>
      <c r="N21" s="494" t="s">
        <v>152</v>
      </c>
      <c r="O21" s="527" t="s">
        <v>153</v>
      </c>
      <c r="S21" s="483"/>
      <c r="T21" s="483"/>
      <c r="U21" s="483"/>
      <c r="V21" s="484"/>
    </row>
    <row r="22" spans="1:22">
      <c r="A22" s="501"/>
      <c r="B22" s="8"/>
      <c r="C22" s="8"/>
      <c r="D22" s="8"/>
      <c r="E22" s="8"/>
      <c r="G22" s="525" t="s">
        <v>154</v>
      </c>
      <c r="H22" s="8"/>
      <c r="I22" s="8"/>
      <c r="J22" s="8"/>
      <c r="K22" s="8"/>
      <c r="L22" s="8"/>
      <c r="M22" s="8">
        <v>43</v>
      </c>
      <c r="N22" s="8" t="s">
        <v>155</v>
      </c>
      <c r="O22" s="500" t="s">
        <v>156</v>
      </c>
      <c r="S22" s="483"/>
      <c r="T22" s="483"/>
      <c r="U22" s="483"/>
      <c r="V22" s="484"/>
    </row>
    <row r="23" spans="1:22">
      <c r="A23" s="503"/>
      <c r="B23" s="57"/>
      <c r="C23" s="57"/>
      <c r="D23" s="57"/>
      <c r="E23" s="57"/>
      <c r="F23" s="57"/>
      <c r="G23" s="57"/>
      <c r="H23" s="57"/>
      <c r="I23" s="57"/>
      <c r="J23" s="57"/>
      <c r="K23" s="524" t="s">
        <v>91</v>
      </c>
      <c r="L23" s="57"/>
      <c r="M23" s="57">
        <v>43</v>
      </c>
      <c r="N23" s="57" t="s">
        <v>157</v>
      </c>
      <c r="O23" s="528" t="s">
        <v>158</v>
      </c>
      <c r="S23" s="483"/>
      <c r="T23" s="483"/>
      <c r="U23" s="483"/>
      <c r="V23" s="484"/>
    </row>
    <row r="24" spans="1:22">
      <c r="A24" s="506" t="s">
        <v>159</v>
      </c>
      <c r="B24" s="520"/>
      <c r="C24" s="520"/>
      <c r="D24" s="529" t="s">
        <v>91</v>
      </c>
      <c r="E24" s="520"/>
      <c r="F24" s="520"/>
      <c r="G24" s="520"/>
      <c r="H24" s="520"/>
      <c r="I24" s="520"/>
      <c r="J24" s="520"/>
      <c r="K24" s="530"/>
      <c r="L24" s="520"/>
      <c r="M24" s="520">
        <v>41</v>
      </c>
      <c r="N24" s="520" t="s">
        <v>160</v>
      </c>
      <c r="O24" s="97" t="s">
        <v>161</v>
      </c>
      <c r="S24" s="483"/>
      <c r="T24" s="483"/>
      <c r="U24" s="483"/>
      <c r="V24" s="484"/>
    </row>
    <row r="25" spans="1:22">
      <c r="A25" s="531" t="s">
        <v>162</v>
      </c>
      <c r="B25" s="8"/>
      <c r="C25" s="8"/>
      <c r="D25" s="8"/>
      <c r="E25" s="8"/>
      <c r="F25" s="8"/>
      <c r="G25" s="502" t="s">
        <v>91</v>
      </c>
      <c r="H25" s="8"/>
      <c r="I25" s="8"/>
      <c r="J25" s="8"/>
      <c r="K25" s="498"/>
      <c r="L25" s="8"/>
      <c r="M25" s="8">
        <v>41</v>
      </c>
      <c r="N25" s="8" t="s">
        <v>163</v>
      </c>
      <c r="O25" s="97" t="s">
        <v>164</v>
      </c>
      <c r="S25" s="483"/>
      <c r="T25" s="483"/>
      <c r="U25" s="483"/>
      <c r="V25" s="484"/>
    </row>
    <row r="26" spans="1:22">
      <c r="A26" s="513"/>
      <c r="B26" s="57"/>
      <c r="C26" s="57"/>
      <c r="D26" s="57"/>
      <c r="E26" s="57"/>
      <c r="F26" s="57"/>
      <c r="G26" s="504" t="s">
        <v>91</v>
      </c>
      <c r="H26" s="57"/>
      <c r="I26" s="57"/>
      <c r="J26" s="57"/>
      <c r="K26" s="514"/>
      <c r="L26" s="57"/>
      <c r="M26" s="57">
        <v>41</v>
      </c>
      <c r="N26" s="57" t="s">
        <v>165</v>
      </c>
      <c r="O26" s="97" t="s">
        <v>130</v>
      </c>
      <c r="S26" s="483"/>
      <c r="T26" s="483"/>
      <c r="U26" s="483"/>
      <c r="V26" s="484"/>
    </row>
    <row r="27" spans="1:22" ht="17.25" customHeight="1">
      <c r="A27" s="517" t="s">
        <v>166</v>
      </c>
      <c r="B27" s="518"/>
      <c r="C27" s="518"/>
      <c r="D27" s="532"/>
      <c r="E27" s="532"/>
      <c r="F27" s="532"/>
      <c r="G27" s="502" t="s">
        <v>91</v>
      </c>
      <c r="H27" s="532"/>
      <c r="I27" s="532"/>
      <c r="J27" s="532"/>
      <c r="K27" s="532"/>
      <c r="L27" s="532"/>
      <c r="M27" s="8">
        <v>49</v>
      </c>
      <c r="N27" s="8" t="s">
        <v>167</v>
      </c>
      <c r="O27" s="109" t="s">
        <v>168</v>
      </c>
      <c r="S27" s="483"/>
      <c r="T27" s="483"/>
      <c r="U27" s="483"/>
      <c r="V27" s="484"/>
    </row>
    <row r="28" spans="1:22" ht="14.25" customHeight="1">
      <c r="A28" s="501"/>
      <c r="B28" s="532"/>
      <c r="C28" s="532"/>
      <c r="D28" s="523"/>
      <c r="E28" s="523"/>
      <c r="F28" s="523"/>
      <c r="G28" s="523"/>
      <c r="H28" s="523"/>
      <c r="I28" s="523"/>
      <c r="J28" s="523"/>
      <c r="K28" s="524" t="s">
        <v>91</v>
      </c>
      <c r="L28" s="524" t="s">
        <v>91</v>
      </c>
      <c r="M28" s="57">
        <v>49</v>
      </c>
      <c r="N28" s="57" t="s">
        <v>169</v>
      </c>
      <c r="O28" s="533" t="s">
        <v>170</v>
      </c>
      <c r="S28" s="483"/>
      <c r="T28" s="483"/>
      <c r="U28" s="483"/>
      <c r="V28" s="484"/>
    </row>
    <row r="29" spans="1:22">
      <c r="A29" s="534" t="s">
        <v>44</v>
      </c>
      <c r="B29" s="535"/>
      <c r="C29" s="535"/>
      <c r="E29" s="535"/>
      <c r="F29" s="535"/>
      <c r="G29" s="508" t="s">
        <v>91</v>
      </c>
      <c r="H29" s="535"/>
      <c r="I29" s="535"/>
      <c r="J29" s="535"/>
      <c r="K29" s="535"/>
      <c r="L29" s="535"/>
      <c r="M29" s="507">
        <v>49</v>
      </c>
      <c r="N29" s="507" t="s">
        <v>171</v>
      </c>
      <c r="O29" s="536" t="s">
        <v>55</v>
      </c>
      <c r="S29" s="483"/>
      <c r="T29" s="483"/>
      <c r="U29" s="483"/>
      <c r="V29" s="484"/>
    </row>
    <row r="30" spans="1:22">
      <c r="A30" s="491" t="s">
        <v>172</v>
      </c>
      <c r="B30" s="537"/>
      <c r="C30" s="537"/>
      <c r="D30" s="538"/>
      <c r="E30" s="537"/>
      <c r="F30" s="537"/>
      <c r="G30" s="539" t="s">
        <v>91</v>
      </c>
      <c r="H30" s="537"/>
      <c r="I30" s="537"/>
      <c r="J30" s="537"/>
      <c r="K30" s="537"/>
      <c r="L30" s="537"/>
      <c r="M30" s="33">
        <v>50</v>
      </c>
      <c r="N30" s="33" t="s">
        <v>173</v>
      </c>
      <c r="O30" s="490" t="s">
        <v>142</v>
      </c>
      <c r="S30" s="483"/>
      <c r="T30" s="483"/>
      <c r="U30" s="483"/>
      <c r="V30" s="484"/>
    </row>
    <row r="31" spans="1:22">
      <c r="A31" s="88" t="s">
        <v>174</v>
      </c>
      <c r="B31" s="540"/>
      <c r="C31" s="540"/>
      <c r="D31" s="540"/>
      <c r="E31" s="540"/>
      <c r="F31" s="540"/>
      <c r="G31" s="541" t="s">
        <v>91</v>
      </c>
      <c r="H31" s="540"/>
      <c r="I31" s="540"/>
      <c r="J31" s="540"/>
      <c r="K31" s="540"/>
      <c r="L31" s="540"/>
      <c r="M31" s="542">
        <v>50</v>
      </c>
      <c r="N31" s="542" t="s">
        <v>175</v>
      </c>
      <c r="O31" s="490" t="s">
        <v>176</v>
      </c>
      <c r="S31" s="483"/>
      <c r="T31" s="483"/>
      <c r="U31" s="483"/>
      <c r="V31" s="484"/>
    </row>
    <row r="32" spans="1:22">
      <c r="A32" s="543"/>
      <c r="G32" s="544"/>
      <c r="M32" s="545"/>
      <c r="N32" s="545"/>
      <c r="S32" s="483"/>
      <c r="T32" s="483"/>
      <c r="U32" s="483"/>
      <c r="V32" s="484"/>
    </row>
    <row r="33" spans="1:22">
      <c r="S33" s="484"/>
      <c r="T33" s="484"/>
      <c r="U33" s="484"/>
      <c r="V33" s="484"/>
    </row>
    <row r="34" spans="1:22">
      <c r="S34" s="484"/>
      <c r="T34" s="484"/>
      <c r="U34" s="484"/>
      <c r="V34" s="484"/>
    </row>
    <row r="35" spans="1:22">
      <c r="A35" s="546" t="s">
        <v>102</v>
      </c>
      <c r="B35" s="547" t="s">
        <v>91</v>
      </c>
      <c r="S35" s="484"/>
      <c r="T35" s="484"/>
      <c r="U35" s="484"/>
      <c r="V35" s="484"/>
    </row>
    <row r="36" spans="1:22">
      <c r="A36" s="16"/>
      <c r="B36" s="1"/>
      <c r="S36" s="484"/>
      <c r="T36" s="484"/>
      <c r="U36" s="484"/>
      <c r="V36" s="484"/>
    </row>
    <row r="37" spans="1:22">
      <c r="A37" s="546" t="s">
        <v>103</v>
      </c>
      <c r="B37" s="548" t="s">
        <v>91</v>
      </c>
      <c r="S37" s="484"/>
      <c r="T37" s="484"/>
      <c r="U37" s="484"/>
      <c r="V37" s="484"/>
    </row>
    <row r="38" spans="1:22">
      <c r="A38" s="16"/>
      <c r="B38" s="1"/>
      <c r="S38" s="484"/>
      <c r="T38" s="484"/>
      <c r="U38" s="484"/>
      <c r="V38" s="484"/>
    </row>
    <row r="39" spans="1:22">
      <c r="A39" s="549" t="s">
        <v>104</v>
      </c>
      <c r="B39" s="550" t="s">
        <v>91</v>
      </c>
      <c r="S39" s="484"/>
      <c r="T39" s="484"/>
      <c r="U39" s="484"/>
      <c r="V39" s="484"/>
    </row>
    <row r="40" spans="1:22">
      <c r="A40" s="551" t="s">
        <v>105</v>
      </c>
      <c r="B40" s="552" t="s">
        <v>91</v>
      </c>
      <c r="S40" s="484"/>
      <c r="T40" s="484"/>
      <c r="U40" s="484"/>
      <c r="V40" s="484"/>
    </row>
    <row r="41" spans="1:22">
      <c r="A41" s="16"/>
      <c r="B41" s="1"/>
      <c r="S41" s="484"/>
      <c r="T41" s="484"/>
      <c r="U41" s="484"/>
      <c r="V41" s="484"/>
    </row>
    <row r="42" spans="1:22">
      <c r="A42" s="546" t="s">
        <v>177</v>
      </c>
      <c r="B42" s="553" t="s">
        <v>91</v>
      </c>
      <c r="S42" s="484"/>
      <c r="T42" s="484"/>
      <c r="U42" s="484"/>
      <c r="V42" s="484"/>
    </row>
    <row r="43" spans="1:22">
      <c r="S43" s="484"/>
      <c r="T43" s="484"/>
      <c r="U43" s="484"/>
      <c r="V43" s="484"/>
    </row>
    <row r="44" spans="1:22">
      <c r="S44" s="484"/>
      <c r="T44" s="484"/>
      <c r="U44" s="484"/>
      <c r="V44" s="484"/>
    </row>
    <row r="45" spans="1:22">
      <c r="A45" s="554" t="s">
        <v>178</v>
      </c>
      <c r="S45" s="484"/>
      <c r="T45" s="484"/>
      <c r="U45" s="484"/>
      <c r="V45" s="484"/>
    </row>
    <row r="46" spans="1:22">
      <c r="S46" s="484"/>
      <c r="T46" s="484"/>
      <c r="U46" s="484"/>
      <c r="V46" s="484"/>
    </row>
    <row r="47" spans="1:22">
      <c r="S47" s="484"/>
      <c r="T47" s="484"/>
      <c r="U47" s="484"/>
      <c r="V47" s="484"/>
    </row>
    <row r="48" spans="1:22">
      <c r="S48" s="484"/>
      <c r="T48" s="484"/>
      <c r="U48" s="484"/>
      <c r="V48" s="484"/>
    </row>
    <row r="49" spans="1:22">
      <c r="S49" s="484"/>
      <c r="T49" s="484"/>
      <c r="U49" s="484"/>
      <c r="V49" s="484"/>
    </row>
    <row r="50" spans="1:22">
      <c r="S50" s="484"/>
      <c r="T50" s="484"/>
      <c r="U50" s="484"/>
      <c r="V50" s="484"/>
    </row>
    <row r="51" spans="1:22">
      <c r="S51" s="484"/>
      <c r="T51" s="484"/>
      <c r="U51" s="484"/>
      <c r="V51" s="484"/>
    </row>
    <row r="52" spans="1:22">
      <c r="S52" s="484"/>
      <c r="T52" s="484"/>
      <c r="U52" s="484"/>
      <c r="V52" s="484"/>
    </row>
    <row r="53" spans="1:22">
      <c r="S53" s="484"/>
      <c r="T53" s="484"/>
      <c r="U53" s="484"/>
      <c r="V53" s="484"/>
    </row>
    <row r="54" spans="1:22">
      <c r="S54" s="484"/>
      <c r="T54" s="484"/>
      <c r="U54" s="484"/>
      <c r="V54" s="484"/>
    </row>
    <row r="55" spans="1:22">
      <c r="S55" s="484"/>
      <c r="T55" s="484"/>
      <c r="U55" s="484"/>
      <c r="V55" s="484"/>
    </row>
    <row r="56" spans="1:22">
      <c r="S56" s="484"/>
      <c r="T56" s="484"/>
      <c r="U56" s="484"/>
      <c r="V56" s="484"/>
    </row>
    <row r="57" spans="1:22">
      <c r="S57" s="484"/>
      <c r="T57" s="484"/>
      <c r="U57" s="484"/>
      <c r="V57" s="484"/>
    </row>
    <row r="58" spans="1:22">
      <c r="S58" s="484"/>
      <c r="T58" s="484"/>
      <c r="U58" s="484"/>
      <c r="V58" s="484"/>
    </row>
    <row r="59" spans="1:22">
      <c r="S59" s="484"/>
      <c r="T59" s="484"/>
      <c r="U59" s="484"/>
      <c r="V59" s="484"/>
    </row>
    <row r="60" spans="1:22">
      <c r="S60" s="484"/>
      <c r="T60" s="484"/>
      <c r="U60" s="484"/>
      <c r="V60" s="484"/>
    </row>
    <row r="61" spans="1:22">
      <c r="S61" s="484"/>
      <c r="T61" s="484"/>
      <c r="U61" s="484"/>
      <c r="V61" s="484"/>
    </row>
    <row r="62" spans="1:22">
      <c r="S62" s="484"/>
      <c r="T62" s="484"/>
      <c r="U62" s="484"/>
      <c r="V62" s="484"/>
    </row>
    <row r="63" spans="1:22">
      <c r="S63" s="484"/>
      <c r="T63" s="484"/>
      <c r="U63" s="484"/>
      <c r="V63" s="484"/>
    </row>
    <row r="64" spans="1:22">
      <c r="A64" s="484"/>
      <c r="B64" s="484"/>
      <c r="C64" s="484"/>
      <c r="D64" s="484"/>
      <c r="E64" s="484"/>
      <c r="F64" s="484"/>
      <c r="G64" s="484"/>
      <c r="H64" s="484"/>
      <c r="I64" s="484"/>
      <c r="J64" s="484"/>
      <c r="K64" s="484"/>
      <c r="L64" s="484"/>
      <c r="M64" s="484"/>
      <c r="N64" s="484"/>
      <c r="O64" s="484"/>
      <c r="P64" s="484"/>
      <c r="Q64" s="484"/>
      <c r="R64" s="484"/>
      <c r="S64" s="484"/>
      <c r="T64" s="484"/>
      <c r="U64" s="484"/>
      <c r="V64" s="484"/>
    </row>
    <row r="65" spans="1:22">
      <c r="A65" s="484"/>
      <c r="B65" s="484"/>
      <c r="C65" s="484"/>
      <c r="D65" s="484"/>
      <c r="E65" s="484"/>
      <c r="F65" s="484"/>
      <c r="G65" s="484"/>
      <c r="H65" s="484"/>
      <c r="I65" s="484"/>
      <c r="J65" s="484"/>
      <c r="K65" s="484"/>
      <c r="L65" s="484"/>
      <c r="M65" s="484"/>
      <c r="N65" s="484"/>
      <c r="O65" s="484"/>
      <c r="P65" s="484"/>
      <c r="Q65" s="484"/>
      <c r="R65" s="484"/>
      <c r="S65" s="484"/>
      <c r="T65" s="484"/>
      <c r="U65" s="484"/>
      <c r="V65" s="484"/>
    </row>
    <row r="66" spans="1:22">
      <c r="A66" s="484"/>
      <c r="B66" s="484"/>
      <c r="C66" s="484"/>
      <c r="D66" s="484"/>
      <c r="E66" s="484"/>
      <c r="F66" s="484"/>
      <c r="G66" s="484"/>
      <c r="H66" s="484"/>
      <c r="I66" s="484"/>
      <c r="J66" s="484"/>
      <c r="K66" s="484"/>
      <c r="L66" s="484"/>
      <c r="M66" s="484"/>
      <c r="N66" s="484"/>
      <c r="O66" s="484"/>
      <c r="P66" s="484"/>
      <c r="Q66" s="484"/>
      <c r="R66" s="484"/>
      <c r="S66" s="484"/>
      <c r="T66" s="484"/>
      <c r="U66" s="484"/>
      <c r="V66" s="484"/>
    </row>
    <row r="67" spans="1:22">
      <c r="A67" s="484"/>
      <c r="B67" s="484"/>
      <c r="C67" s="484"/>
      <c r="D67" s="484"/>
      <c r="E67" s="484"/>
      <c r="F67" s="484"/>
      <c r="G67" s="484"/>
      <c r="H67" s="484"/>
      <c r="I67" s="484"/>
      <c r="J67" s="484"/>
      <c r="K67" s="484"/>
      <c r="L67" s="484"/>
      <c r="M67" s="484"/>
      <c r="N67" s="484"/>
      <c r="O67" s="484"/>
      <c r="P67" s="484"/>
      <c r="Q67" s="484"/>
      <c r="R67" s="484"/>
      <c r="S67" s="484"/>
      <c r="T67" s="484"/>
      <c r="U67" s="484"/>
      <c r="V67" s="484"/>
    </row>
    <row r="68" spans="1:22">
      <c r="A68" s="484"/>
      <c r="B68" s="484"/>
      <c r="C68" s="484"/>
      <c r="D68" s="484"/>
      <c r="E68" s="484"/>
      <c r="F68" s="484"/>
      <c r="G68" s="484"/>
      <c r="H68" s="484"/>
      <c r="I68" s="484"/>
      <c r="J68" s="484"/>
      <c r="K68" s="484"/>
      <c r="L68" s="484"/>
      <c r="M68" s="484"/>
      <c r="N68" s="484"/>
      <c r="O68" s="484"/>
      <c r="P68" s="484"/>
      <c r="Q68" s="484"/>
      <c r="R68" s="484"/>
      <c r="S68" s="484"/>
      <c r="T68" s="484"/>
      <c r="U68" s="484"/>
      <c r="V68" s="484"/>
    </row>
    <row r="69" spans="1:22">
      <c r="A69" s="484"/>
      <c r="B69" s="484"/>
      <c r="C69" s="484"/>
      <c r="D69" s="484"/>
      <c r="E69" s="484"/>
      <c r="F69" s="484"/>
      <c r="G69" s="484"/>
      <c r="H69" s="484"/>
      <c r="I69" s="484"/>
      <c r="J69" s="484"/>
      <c r="K69" s="484"/>
      <c r="L69" s="484"/>
      <c r="M69" s="484"/>
      <c r="N69" s="484"/>
      <c r="O69" s="484"/>
      <c r="P69" s="484"/>
      <c r="Q69" s="484"/>
      <c r="R69" s="484"/>
      <c r="S69" s="484"/>
      <c r="T69" s="484"/>
      <c r="U69" s="484"/>
      <c r="V69" s="484"/>
    </row>
    <row r="70" spans="1:22">
      <c r="A70" s="484"/>
      <c r="B70" s="484"/>
      <c r="C70" s="484"/>
      <c r="D70" s="484"/>
      <c r="E70" s="484"/>
      <c r="F70" s="484"/>
      <c r="G70" s="484"/>
      <c r="H70" s="484"/>
      <c r="I70" s="484"/>
      <c r="J70" s="484"/>
      <c r="K70" s="484"/>
      <c r="L70" s="484"/>
      <c r="M70" s="484"/>
      <c r="N70" s="484"/>
      <c r="O70" s="484"/>
      <c r="P70" s="484"/>
      <c r="Q70" s="484"/>
      <c r="R70" s="484"/>
      <c r="S70" s="484"/>
      <c r="T70" s="484"/>
      <c r="U70" s="484"/>
      <c r="V70" s="484"/>
    </row>
    <row r="71" spans="1:22">
      <c r="A71" s="484"/>
      <c r="B71" s="484"/>
      <c r="C71" s="484"/>
      <c r="D71" s="484"/>
      <c r="E71" s="484"/>
      <c r="F71" s="484"/>
      <c r="G71" s="484"/>
      <c r="H71" s="484"/>
      <c r="I71" s="484"/>
      <c r="J71" s="484"/>
      <c r="K71" s="484"/>
      <c r="L71" s="484"/>
      <c r="M71" s="484"/>
      <c r="N71" s="484"/>
      <c r="O71" s="484"/>
      <c r="P71" s="484"/>
      <c r="Q71" s="484"/>
      <c r="R71" s="484"/>
      <c r="S71" s="484"/>
      <c r="T71" s="484"/>
      <c r="U71" s="484"/>
      <c r="V71" s="484"/>
    </row>
    <row r="72" spans="1:22">
      <c r="A72" s="484"/>
      <c r="B72" s="484"/>
      <c r="C72" s="484"/>
      <c r="D72" s="484"/>
      <c r="E72" s="484"/>
      <c r="F72" s="484"/>
      <c r="G72" s="484"/>
      <c r="H72" s="484"/>
      <c r="I72" s="484"/>
      <c r="J72" s="484"/>
      <c r="K72" s="484"/>
      <c r="L72" s="484"/>
      <c r="M72" s="484"/>
      <c r="N72" s="484"/>
      <c r="O72" s="484"/>
      <c r="P72" s="484"/>
      <c r="Q72" s="484"/>
      <c r="R72" s="484"/>
      <c r="S72" s="484"/>
      <c r="T72" s="484"/>
      <c r="U72" s="484"/>
      <c r="V72" s="484"/>
    </row>
    <row r="73" spans="1:22">
      <c r="A73" s="484"/>
      <c r="B73" s="484"/>
      <c r="C73" s="484"/>
      <c r="D73" s="484"/>
      <c r="E73" s="484"/>
      <c r="F73" s="484"/>
      <c r="G73" s="484"/>
      <c r="H73" s="484"/>
      <c r="I73" s="484"/>
      <c r="J73" s="484"/>
      <c r="K73" s="484"/>
      <c r="L73" s="484"/>
      <c r="M73" s="484"/>
      <c r="N73" s="484"/>
      <c r="O73" s="484"/>
      <c r="P73" s="484"/>
      <c r="Q73" s="484"/>
      <c r="R73" s="484"/>
      <c r="S73" s="484"/>
      <c r="T73" s="484"/>
      <c r="U73" s="484"/>
      <c r="V73" s="484"/>
    </row>
    <row r="74" spans="1:22">
      <c r="A74" s="484"/>
      <c r="B74" s="484"/>
      <c r="C74" s="484"/>
      <c r="D74" s="484"/>
      <c r="E74" s="484"/>
      <c r="F74" s="484"/>
      <c r="G74" s="484"/>
      <c r="H74" s="484"/>
      <c r="I74" s="484"/>
      <c r="J74" s="484"/>
      <c r="K74" s="484"/>
      <c r="L74" s="484"/>
      <c r="M74" s="484"/>
      <c r="N74" s="484"/>
      <c r="O74" s="484"/>
      <c r="P74" s="484"/>
      <c r="Q74" s="484"/>
      <c r="R74" s="484"/>
      <c r="S74" s="484"/>
      <c r="T74" s="484"/>
      <c r="U74" s="484"/>
      <c r="V74" s="484"/>
    </row>
    <row r="75" spans="1:22">
      <c r="A75" s="484"/>
      <c r="B75" s="484"/>
      <c r="C75" s="484"/>
      <c r="D75" s="484"/>
      <c r="E75" s="484"/>
      <c r="F75" s="484"/>
      <c r="G75" s="484"/>
      <c r="H75" s="484"/>
      <c r="I75" s="484"/>
      <c r="J75" s="484"/>
      <c r="K75" s="484"/>
      <c r="L75" s="484"/>
      <c r="M75" s="484"/>
      <c r="N75" s="484"/>
      <c r="O75" s="484"/>
      <c r="P75" s="484"/>
      <c r="Q75" s="484"/>
      <c r="R75" s="484"/>
      <c r="S75" s="484"/>
      <c r="T75" s="484"/>
      <c r="U75" s="484"/>
      <c r="V75" s="484"/>
    </row>
    <row r="76" spans="1:22">
      <c r="A76" s="484"/>
      <c r="B76" s="484"/>
      <c r="C76" s="484"/>
      <c r="D76" s="484"/>
      <c r="E76" s="484"/>
      <c r="F76" s="484"/>
      <c r="G76" s="484"/>
      <c r="H76" s="484"/>
      <c r="I76" s="484"/>
      <c r="J76" s="484"/>
      <c r="K76" s="484"/>
      <c r="L76" s="484"/>
      <c r="M76" s="484"/>
      <c r="N76" s="484"/>
      <c r="O76" s="484"/>
      <c r="P76" s="484"/>
      <c r="Q76" s="484"/>
      <c r="R76" s="484"/>
      <c r="S76" s="484"/>
      <c r="T76" s="484"/>
      <c r="U76" s="484"/>
      <c r="V76" s="484"/>
    </row>
    <row r="77" spans="1:22">
      <c r="A77" s="484"/>
      <c r="B77" s="484"/>
      <c r="C77" s="484"/>
      <c r="D77" s="484"/>
      <c r="E77" s="484"/>
      <c r="F77" s="484"/>
      <c r="G77" s="484"/>
      <c r="H77" s="484"/>
      <c r="I77" s="484"/>
      <c r="J77" s="484"/>
      <c r="K77" s="484"/>
      <c r="L77" s="484"/>
      <c r="M77" s="484"/>
      <c r="N77" s="484"/>
      <c r="O77" s="484"/>
      <c r="P77" s="484"/>
      <c r="Q77" s="484"/>
      <c r="R77" s="484"/>
      <c r="S77" s="484"/>
      <c r="T77" s="484"/>
      <c r="U77" s="484"/>
      <c r="V77" s="484"/>
    </row>
    <row r="78" spans="1:22">
      <c r="A78" s="484"/>
      <c r="B78" s="484"/>
      <c r="C78" s="484"/>
      <c r="D78" s="484"/>
      <c r="E78" s="484"/>
      <c r="F78" s="484"/>
      <c r="G78" s="484"/>
      <c r="H78" s="484"/>
      <c r="I78" s="484"/>
      <c r="J78" s="484"/>
      <c r="K78" s="484"/>
      <c r="L78" s="484"/>
      <c r="M78" s="484"/>
      <c r="N78" s="484"/>
      <c r="O78" s="484"/>
      <c r="P78" s="484"/>
      <c r="Q78" s="484"/>
      <c r="R78" s="484"/>
      <c r="S78" s="484"/>
      <c r="T78" s="484"/>
      <c r="U78" s="484"/>
      <c r="V78" s="484"/>
    </row>
    <row r="79" spans="1:22">
      <c r="A79" s="484"/>
      <c r="B79" s="484"/>
      <c r="C79" s="484"/>
      <c r="D79" s="484"/>
      <c r="E79" s="484"/>
      <c r="F79" s="484"/>
      <c r="G79" s="484"/>
      <c r="H79" s="484"/>
      <c r="I79" s="484"/>
      <c r="J79" s="484"/>
      <c r="K79" s="484"/>
      <c r="L79" s="484"/>
      <c r="M79" s="484"/>
      <c r="N79" s="484"/>
      <c r="O79" s="484"/>
      <c r="P79" s="484"/>
      <c r="Q79" s="484"/>
      <c r="R79" s="484"/>
      <c r="S79" s="484"/>
      <c r="T79" s="484"/>
      <c r="U79" s="484"/>
      <c r="V79" s="484"/>
    </row>
    <row r="80" spans="1:22">
      <c r="A80" s="484"/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</row>
    <row r="81" spans="1:22">
      <c r="A81" s="484"/>
      <c r="B81" s="484"/>
      <c r="C81" s="484"/>
      <c r="D81" s="484"/>
      <c r="E81" s="484"/>
      <c r="F81" s="484"/>
      <c r="G81" s="484"/>
      <c r="H81" s="484"/>
      <c r="I81" s="484"/>
      <c r="J81" s="484"/>
      <c r="K81" s="484"/>
      <c r="L81" s="484"/>
      <c r="M81" s="484"/>
      <c r="N81" s="484"/>
      <c r="O81" s="484"/>
      <c r="P81" s="484"/>
      <c r="Q81" s="484"/>
      <c r="R81" s="484"/>
      <c r="S81" s="484"/>
      <c r="T81" s="484"/>
      <c r="U81" s="484"/>
      <c r="V81" s="484"/>
    </row>
    <row r="82" spans="1:22">
      <c r="A82" s="484"/>
      <c r="B82" s="484"/>
      <c r="C82" s="484"/>
      <c r="D82" s="484"/>
      <c r="E82" s="484"/>
      <c r="F82" s="484"/>
      <c r="G82" s="484"/>
      <c r="H82" s="484"/>
      <c r="I82" s="484"/>
      <c r="J82" s="484"/>
      <c r="K82" s="484"/>
      <c r="L82" s="484"/>
      <c r="M82" s="484"/>
      <c r="N82" s="484"/>
      <c r="O82" s="484"/>
      <c r="P82" s="484"/>
      <c r="Q82" s="484"/>
      <c r="R82" s="484"/>
      <c r="S82" s="484"/>
      <c r="T82" s="484"/>
      <c r="U82" s="484"/>
      <c r="V82" s="484"/>
    </row>
    <row r="83" spans="1:22">
      <c r="A83" s="484"/>
      <c r="B83" s="484"/>
      <c r="C83" s="484"/>
      <c r="D83" s="484"/>
      <c r="E83" s="484"/>
      <c r="F83" s="484"/>
      <c r="G83" s="484"/>
      <c r="H83" s="484"/>
      <c r="I83" s="484"/>
      <c r="J83" s="484"/>
      <c r="K83" s="484"/>
      <c r="L83" s="484"/>
      <c r="M83" s="484"/>
      <c r="N83" s="484"/>
      <c r="O83" s="484"/>
      <c r="P83" s="484"/>
      <c r="Q83" s="484"/>
      <c r="R83" s="484"/>
      <c r="S83" s="484"/>
      <c r="T83" s="484"/>
      <c r="U83" s="484"/>
      <c r="V83" s="484"/>
    </row>
    <row r="84" spans="1:22">
      <c r="A84" s="484"/>
      <c r="B84" s="484"/>
      <c r="C84" s="484"/>
      <c r="D84" s="484"/>
      <c r="E84" s="484"/>
      <c r="F84" s="484"/>
      <c r="G84" s="484"/>
      <c r="H84" s="484"/>
      <c r="I84" s="484"/>
      <c r="J84" s="484"/>
      <c r="K84" s="484"/>
      <c r="L84" s="484"/>
      <c r="M84" s="484"/>
      <c r="N84" s="484"/>
      <c r="O84" s="484"/>
      <c r="P84" s="484"/>
      <c r="Q84" s="484"/>
      <c r="R84" s="484"/>
      <c r="S84" s="484"/>
      <c r="T84" s="484"/>
      <c r="U84" s="484"/>
      <c r="V84" s="484"/>
    </row>
    <row r="85" spans="1:22">
      <c r="A85" s="484"/>
      <c r="B85" s="484"/>
      <c r="C85" s="484"/>
      <c r="D85" s="484"/>
      <c r="E85" s="484"/>
      <c r="F85" s="484"/>
      <c r="G85" s="484"/>
      <c r="H85" s="484"/>
      <c r="I85" s="484"/>
      <c r="J85" s="484"/>
      <c r="K85" s="484"/>
      <c r="L85" s="484"/>
      <c r="M85" s="484"/>
      <c r="N85" s="484"/>
      <c r="O85" s="484"/>
      <c r="P85" s="484"/>
      <c r="Q85" s="484"/>
      <c r="R85" s="484"/>
      <c r="S85" s="484"/>
      <c r="T85" s="484"/>
      <c r="U85" s="484"/>
      <c r="V85" s="484"/>
    </row>
    <row r="86" spans="1:22">
      <c r="A86" s="484"/>
      <c r="B86" s="484"/>
      <c r="C86" s="484"/>
      <c r="D86" s="484"/>
      <c r="E86" s="484"/>
      <c r="F86" s="484"/>
      <c r="G86" s="484"/>
      <c r="H86" s="484"/>
      <c r="I86" s="484"/>
      <c r="J86" s="484"/>
      <c r="K86" s="484"/>
      <c r="L86" s="484"/>
      <c r="M86" s="484"/>
      <c r="N86" s="484"/>
      <c r="O86" s="484"/>
      <c r="P86" s="484"/>
      <c r="Q86" s="484"/>
      <c r="R86" s="484"/>
      <c r="S86" s="484"/>
      <c r="T86" s="484"/>
      <c r="U86" s="484"/>
      <c r="V86" s="484"/>
    </row>
    <row r="87" spans="1:22">
      <c r="A87" s="484"/>
      <c r="B87" s="484"/>
      <c r="C87" s="484"/>
      <c r="D87" s="484"/>
      <c r="E87" s="484"/>
      <c r="F87" s="484"/>
      <c r="G87" s="484"/>
      <c r="H87" s="484"/>
      <c r="I87" s="484"/>
      <c r="J87" s="484"/>
      <c r="K87" s="484"/>
      <c r="L87" s="484"/>
      <c r="M87" s="484"/>
      <c r="N87" s="484"/>
      <c r="O87" s="484"/>
      <c r="P87" s="484"/>
      <c r="Q87" s="484"/>
      <c r="R87" s="484"/>
      <c r="S87" s="484"/>
      <c r="T87" s="484"/>
      <c r="U87" s="484"/>
      <c r="V87" s="484"/>
    </row>
    <row r="88" spans="1:22">
      <c r="A88" s="484"/>
      <c r="B88" s="484"/>
      <c r="C88" s="484"/>
      <c r="D88" s="484"/>
      <c r="E88" s="484"/>
      <c r="F88" s="484"/>
      <c r="G88" s="484"/>
      <c r="H88" s="484"/>
      <c r="I88" s="484"/>
      <c r="J88" s="484"/>
      <c r="K88" s="484"/>
      <c r="L88" s="484"/>
      <c r="M88" s="484"/>
      <c r="N88" s="484"/>
      <c r="O88" s="484"/>
      <c r="P88" s="484"/>
      <c r="Q88" s="484"/>
      <c r="R88" s="484"/>
      <c r="S88" s="484"/>
      <c r="T88" s="484"/>
      <c r="U88" s="484"/>
      <c r="V88" s="484"/>
    </row>
    <row r="89" spans="1:22">
      <c r="A89" s="484"/>
      <c r="B89" s="484"/>
      <c r="C89" s="484"/>
      <c r="D89" s="484"/>
      <c r="E89" s="484"/>
      <c r="F89" s="484"/>
      <c r="G89" s="484"/>
      <c r="H89" s="484"/>
      <c r="I89" s="484"/>
      <c r="J89" s="484"/>
      <c r="K89" s="484"/>
      <c r="L89" s="484"/>
      <c r="M89" s="484"/>
      <c r="N89" s="484"/>
      <c r="O89" s="484"/>
      <c r="P89" s="484"/>
      <c r="Q89" s="484"/>
      <c r="R89" s="484"/>
      <c r="S89" s="484"/>
      <c r="T89" s="484"/>
      <c r="U89" s="484"/>
      <c r="V89" s="484"/>
    </row>
    <row r="90" spans="1:22">
      <c r="A90" s="484"/>
      <c r="B90" s="484"/>
      <c r="C90" s="484"/>
      <c r="D90" s="484"/>
      <c r="E90" s="484"/>
      <c r="F90" s="484"/>
      <c r="G90" s="484"/>
      <c r="H90" s="484"/>
      <c r="I90" s="484"/>
      <c r="J90" s="484"/>
      <c r="K90" s="484"/>
      <c r="L90" s="484"/>
      <c r="M90" s="484"/>
      <c r="N90" s="484"/>
      <c r="O90" s="484"/>
      <c r="P90" s="484"/>
      <c r="Q90" s="484"/>
      <c r="R90" s="484"/>
      <c r="S90" s="484"/>
      <c r="T90" s="484"/>
      <c r="U90" s="484"/>
      <c r="V90" s="484"/>
    </row>
    <row r="91" spans="1:22">
      <c r="A91" s="484"/>
      <c r="B91" s="484"/>
      <c r="C91" s="484"/>
      <c r="D91" s="484"/>
      <c r="E91" s="484"/>
      <c r="F91" s="484"/>
      <c r="G91" s="484"/>
      <c r="H91" s="484"/>
      <c r="I91" s="484"/>
      <c r="J91" s="484"/>
      <c r="K91" s="484"/>
      <c r="L91" s="484"/>
      <c r="M91" s="484"/>
      <c r="N91" s="484"/>
      <c r="O91" s="484"/>
      <c r="P91" s="484"/>
      <c r="Q91" s="484"/>
      <c r="R91" s="484"/>
      <c r="S91" s="484"/>
      <c r="T91" s="484"/>
      <c r="U91" s="484"/>
      <c r="V91" s="484"/>
    </row>
    <row r="92" spans="1:22">
      <c r="A92" s="484"/>
      <c r="B92" s="484"/>
      <c r="C92" s="484"/>
      <c r="D92" s="484"/>
      <c r="E92" s="484"/>
      <c r="F92" s="484"/>
      <c r="G92" s="484"/>
      <c r="H92" s="484"/>
      <c r="I92" s="484"/>
      <c r="J92" s="484"/>
      <c r="K92" s="484"/>
      <c r="L92" s="484"/>
      <c r="M92" s="484"/>
      <c r="N92" s="484"/>
      <c r="O92" s="484"/>
      <c r="P92" s="484"/>
      <c r="Q92" s="484"/>
      <c r="R92" s="484"/>
      <c r="S92" s="484"/>
      <c r="T92" s="484"/>
      <c r="U92" s="484"/>
      <c r="V92" s="484"/>
    </row>
    <row r="93" spans="1:22">
      <c r="A93" s="484"/>
      <c r="B93" s="484"/>
      <c r="C93" s="484"/>
      <c r="D93" s="484"/>
      <c r="E93" s="484"/>
      <c r="F93" s="484"/>
      <c r="G93" s="484"/>
      <c r="H93" s="484"/>
      <c r="I93" s="484"/>
      <c r="J93" s="484"/>
      <c r="K93" s="484"/>
      <c r="L93" s="484"/>
      <c r="M93" s="484"/>
      <c r="N93" s="484"/>
      <c r="O93" s="484"/>
      <c r="P93" s="484"/>
      <c r="Q93" s="484"/>
      <c r="R93" s="484"/>
      <c r="S93" s="484"/>
      <c r="T93" s="484"/>
      <c r="U93" s="484"/>
      <c r="V93" s="484"/>
    </row>
    <row r="94" spans="1:22">
      <c r="A94" s="484"/>
      <c r="B94" s="484"/>
      <c r="C94" s="484"/>
      <c r="D94" s="484"/>
      <c r="E94" s="484"/>
      <c r="F94" s="484"/>
      <c r="G94" s="484"/>
      <c r="H94" s="484"/>
      <c r="I94" s="484"/>
      <c r="J94" s="484"/>
      <c r="K94" s="484"/>
      <c r="L94" s="484"/>
      <c r="M94" s="484"/>
      <c r="N94" s="484"/>
      <c r="O94" s="484"/>
      <c r="P94" s="484"/>
      <c r="Q94" s="484"/>
      <c r="R94" s="484"/>
      <c r="S94" s="484"/>
      <c r="T94" s="484"/>
      <c r="U94" s="484"/>
      <c r="V94" s="484"/>
    </row>
    <row r="95" spans="1:22">
      <c r="A95" s="484"/>
      <c r="B95" s="484"/>
      <c r="C95" s="484"/>
      <c r="D95" s="484"/>
      <c r="E95" s="484"/>
      <c r="F95" s="484"/>
      <c r="G95" s="484"/>
      <c r="H95" s="484"/>
      <c r="I95" s="484"/>
      <c r="J95" s="484"/>
      <c r="K95" s="484"/>
      <c r="L95" s="484"/>
      <c r="M95" s="484"/>
      <c r="N95" s="484"/>
      <c r="O95" s="484"/>
      <c r="P95" s="484"/>
      <c r="Q95" s="484"/>
      <c r="R95" s="484"/>
      <c r="S95" s="484"/>
      <c r="T95" s="484"/>
      <c r="U95" s="484"/>
      <c r="V95" s="484"/>
    </row>
    <row r="96" spans="1:22">
      <c r="A96" s="484"/>
      <c r="B96" s="484"/>
      <c r="C96" s="484"/>
      <c r="D96" s="484"/>
      <c r="E96" s="484"/>
      <c r="F96" s="484"/>
      <c r="G96" s="484"/>
      <c r="H96" s="484"/>
      <c r="I96" s="484"/>
      <c r="J96" s="484"/>
      <c r="K96" s="484"/>
      <c r="L96" s="484"/>
      <c r="M96" s="484"/>
      <c r="N96" s="484"/>
      <c r="O96" s="484"/>
      <c r="P96" s="484"/>
      <c r="Q96" s="484"/>
      <c r="R96" s="484"/>
      <c r="S96" s="484"/>
      <c r="T96" s="484"/>
      <c r="U96" s="484"/>
      <c r="V96" s="484"/>
    </row>
    <row r="97" spans="1:22">
      <c r="A97" s="484"/>
      <c r="B97" s="484"/>
      <c r="C97" s="484"/>
      <c r="D97" s="484"/>
      <c r="E97" s="484"/>
      <c r="F97" s="484"/>
      <c r="G97" s="484"/>
      <c r="H97" s="484"/>
      <c r="I97" s="484"/>
      <c r="J97" s="484"/>
      <c r="K97" s="484"/>
      <c r="L97" s="484"/>
      <c r="M97" s="484"/>
      <c r="N97" s="484"/>
      <c r="O97" s="484"/>
      <c r="P97" s="484"/>
      <c r="Q97" s="484"/>
      <c r="R97" s="484"/>
      <c r="S97" s="484"/>
      <c r="T97" s="484"/>
      <c r="U97" s="484"/>
      <c r="V97" s="484"/>
    </row>
    <row r="98" spans="1:22">
      <c r="A98" s="484"/>
      <c r="B98" s="484"/>
      <c r="C98" s="484"/>
      <c r="D98" s="484"/>
      <c r="E98" s="484"/>
      <c r="F98" s="484"/>
      <c r="G98" s="484"/>
      <c r="H98" s="484"/>
      <c r="I98" s="484"/>
      <c r="J98" s="484"/>
      <c r="K98" s="484"/>
      <c r="L98" s="484"/>
      <c r="M98" s="484"/>
      <c r="N98" s="484"/>
      <c r="O98" s="484"/>
      <c r="P98" s="484"/>
      <c r="Q98" s="484"/>
      <c r="R98" s="484"/>
      <c r="S98" s="484"/>
      <c r="T98" s="484"/>
      <c r="U98" s="484"/>
      <c r="V98" s="484"/>
    </row>
    <row r="99" spans="1:22">
      <c r="A99" s="484"/>
      <c r="B99" s="484"/>
      <c r="C99" s="484"/>
      <c r="D99" s="484"/>
      <c r="E99" s="484"/>
      <c r="F99" s="484"/>
      <c r="G99" s="484"/>
      <c r="H99" s="484"/>
      <c r="I99" s="484"/>
      <c r="J99" s="484"/>
      <c r="K99" s="484"/>
      <c r="L99" s="484"/>
      <c r="M99" s="484"/>
      <c r="N99" s="484"/>
      <c r="O99" s="484"/>
      <c r="P99" s="484"/>
      <c r="Q99" s="484"/>
      <c r="R99" s="484"/>
      <c r="S99" s="484"/>
      <c r="T99" s="484"/>
      <c r="U99" s="484"/>
      <c r="V99" s="484"/>
    </row>
    <row r="100" spans="1:22">
      <c r="A100" s="484"/>
      <c r="B100" s="484"/>
      <c r="C100" s="484"/>
      <c r="D100" s="484"/>
      <c r="E100" s="484"/>
      <c r="F100" s="484"/>
      <c r="G100" s="484"/>
      <c r="H100" s="484"/>
      <c r="I100" s="484"/>
      <c r="J100" s="484"/>
      <c r="K100" s="484"/>
      <c r="L100" s="484"/>
      <c r="M100" s="484"/>
      <c r="N100" s="484"/>
      <c r="O100" s="484"/>
      <c r="P100" s="484"/>
      <c r="Q100" s="484"/>
      <c r="R100" s="484"/>
      <c r="S100" s="484"/>
      <c r="T100" s="484"/>
      <c r="U100" s="484"/>
      <c r="V100" s="484"/>
    </row>
    <row r="101" spans="1:22">
      <c r="A101" s="484"/>
      <c r="B101" s="484"/>
      <c r="C101" s="484"/>
      <c r="D101" s="484"/>
      <c r="E101" s="484"/>
      <c r="F101" s="484"/>
      <c r="G101" s="484"/>
      <c r="H101" s="484"/>
      <c r="I101" s="484"/>
      <c r="J101" s="484"/>
      <c r="K101" s="484"/>
      <c r="L101" s="484"/>
      <c r="M101" s="484"/>
      <c r="N101" s="484"/>
      <c r="O101" s="484"/>
      <c r="P101" s="484"/>
      <c r="Q101" s="484"/>
      <c r="R101" s="484"/>
      <c r="S101" s="484"/>
      <c r="T101" s="484"/>
      <c r="U101" s="484"/>
      <c r="V101" s="484"/>
    </row>
    <row r="102" spans="1:22">
      <c r="A102" s="484"/>
      <c r="B102" s="484"/>
      <c r="C102" s="484"/>
      <c r="D102" s="484"/>
      <c r="E102" s="484"/>
      <c r="F102" s="484"/>
      <c r="G102" s="484"/>
      <c r="H102" s="484"/>
      <c r="I102" s="484"/>
      <c r="J102" s="484"/>
      <c r="K102" s="484"/>
      <c r="L102" s="484"/>
      <c r="M102" s="484"/>
      <c r="N102" s="484"/>
      <c r="O102" s="484"/>
      <c r="P102" s="484"/>
      <c r="Q102" s="484"/>
      <c r="R102" s="484"/>
      <c r="S102" s="484"/>
      <c r="T102" s="484"/>
      <c r="U102" s="484"/>
      <c r="V102" s="484"/>
    </row>
    <row r="103" spans="1:22">
      <c r="A103" s="484"/>
      <c r="B103" s="484"/>
      <c r="C103" s="484"/>
      <c r="D103" s="484"/>
      <c r="E103" s="484"/>
      <c r="F103" s="484"/>
      <c r="G103" s="484"/>
      <c r="H103" s="484"/>
      <c r="I103" s="484"/>
      <c r="J103" s="484"/>
      <c r="K103" s="484"/>
      <c r="L103" s="484"/>
      <c r="M103" s="484"/>
      <c r="N103" s="484"/>
      <c r="O103" s="484"/>
      <c r="P103" s="484"/>
      <c r="Q103" s="484"/>
      <c r="R103" s="484"/>
      <c r="S103" s="484"/>
      <c r="T103" s="484"/>
      <c r="U103" s="484"/>
      <c r="V103" s="484"/>
    </row>
    <row r="104" spans="1:22">
      <c r="A104" s="484"/>
      <c r="B104" s="484"/>
      <c r="C104" s="484"/>
      <c r="D104" s="484"/>
      <c r="E104" s="484"/>
      <c r="F104" s="484"/>
      <c r="G104" s="484"/>
      <c r="H104" s="484"/>
      <c r="I104" s="484"/>
      <c r="J104" s="484"/>
      <c r="K104" s="484"/>
      <c r="L104" s="484"/>
      <c r="M104" s="484"/>
      <c r="N104" s="484"/>
      <c r="O104" s="484"/>
      <c r="P104" s="484"/>
      <c r="Q104" s="484"/>
      <c r="R104" s="484"/>
      <c r="S104" s="484"/>
      <c r="T104" s="484"/>
      <c r="U104" s="484"/>
      <c r="V104" s="484"/>
    </row>
    <row r="105" spans="1:22">
      <c r="A105" s="484"/>
      <c r="B105" s="484"/>
      <c r="C105" s="484"/>
      <c r="D105" s="484"/>
      <c r="E105" s="484"/>
      <c r="F105" s="484"/>
      <c r="G105" s="484"/>
      <c r="H105" s="484"/>
      <c r="I105" s="484"/>
      <c r="J105" s="484"/>
      <c r="K105" s="484"/>
      <c r="L105" s="484"/>
      <c r="M105" s="484"/>
      <c r="N105" s="484"/>
      <c r="O105" s="484"/>
      <c r="P105" s="484"/>
      <c r="Q105" s="484"/>
      <c r="R105" s="484"/>
      <c r="S105" s="484"/>
      <c r="T105" s="484"/>
      <c r="U105" s="484"/>
      <c r="V105" s="484"/>
    </row>
    <row r="106" spans="1:22">
      <c r="A106" s="484"/>
      <c r="B106" s="484"/>
      <c r="C106" s="484"/>
      <c r="D106" s="484"/>
      <c r="E106" s="484"/>
      <c r="F106" s="484"/>
      <c r="G106" s="484"/>
      <c r="H106" s="484"/>
      <c r="I106" s="484"/>
      <c r="J106" s="484"/>
      <c r="K106" s="484"/>
      <c r="L106" s="484"/>
      <c r="M106" s="484"/>
      <c r="N106" s="484"/>
      <c r="O106" s="484"/>
      <c r="P106" s="484"/>
      <c r="Q106" s="484"/>
      <c r="R106" s="484"/>
      <c r="S106" s="484"/>
      <c r="T106" s="484"/>
      <c r="U106" s="484"/>
      <c r="V106" s="484"/>
    </row>
    <row r="107" spans="1:22">
      <c r="A107" s="484"/>
      <c r="B107" s="484"/>
      <c r="C107" s="484"/>
      <c r="D107" s="484"/>
      <c r="E107" s="484"/>
      <c r="F107" s="484"/>
      <c r="G107" s="484"/>
      <c r="H107" s="484"/>
      <c r="I107" s="484"/>
      <c r="J107" s="484"/>
      <c r="K107" s="484"/>
      <c r="L107" s="484"/>
      <c r="M107" s="484"/>
      <c r="N107" s="484"/>
      <c r="O107" s="484"/>
      <c r="P107" s="484"/>
      <c r="Q107" s="484"/>
      <c r="R107" s="484"/>
      <c r="S107" s="484"/>
      <c r="T107" s="484"/>
      <c r="U107" s="484"/>
      <c r="V107" s="484"/>
    </row>
    <row r="108" spans="1:22">
      <c r="A108" s="484"/>
      <c r="B108" s="484"/>
      <c r="C108" s="484"/>
      <c r="D108" s="484"/>
      <c r="E108" s="484"/>
      <c r="F108" s="484"/>
      <c r="G108" s="484"/>
      <c r="H108" s="484"/>
      <c r="I108" s="484"/>
      <c r="J108" s="484"/>
      <c r="K108" s="484"/>
      <c r="L108" s="484"/>
      <c r="M108" s="484"/>
      <c r="N108" s="484"/>
      <c r="O108" s="484"/>
      <c r="P108" s="484"/>
      <c r="Q108" s="484"/>
      <c r="R108" s="484"/>
      <c r="S108" s="484"/>
      <c r="T108" s="484"/>
      <c r="U108" s="484"/>
      <c r="V108" s="484"/>
    </row>
    <row r="109" spans="1:22">
      <c r="A109" s="484"/>
      <c r="B109" s="484"/>
      <c r="C109" s="484"/>
      <c r="D109" s="484"/>
      <c r="E109" s="484"/>
      <c r="F109" s="484"/>
      <c r="G109" s="484"/>
      <c r="H109" s="484"/>
      <c r="I109" s="484"/>
      <c r="J109" s="484"/>
      <c r="K109" s="484"/>
      <c r="L109" s="484"/>
      <c r="M109" s="484"/>
      <c r="N109" s="484"/>
      <c r="O109" s="484"/>
      <c r="P109" s="484"/>
      <c r="Q109" s="484"/>
      <c r="R109" s="484"/>
      <c r="S109" s="484"/>
      <c r="T109" s="484"/>
      <c r="U109" s="484"/>
      <c r="V109" s="484"/>
    </row>
    <row r="110" spans="1:22">
      <c r="A110" s="484"/>
      <c r="B110" s="484"/>
      <c r="C110" s="484"/>
      <c r="D110" s="484"/>
      <c r="E110" s="484"/>
      <c r="F110" s="484"/>
      <c r="G110" s="484"/>
      <c r="H110" s="484"/>
      <c r="I110" s="484"/>
      <c r="J110" s="484"/>
      <c r="K110" s="484"/>
      <c r="L110" s="484"/>
      <c r="M110" s="484"/>
      <c r="N110" s="484"/>
      <c r="O110" s="484"/>
      <c r="P110" s="484"/>
      <c r="Q110" s="484"/>
      <c r="R110" s="484"/>
      <c r="S110" s="484"/>
      <c r="T110" s="484"/>
      <c r="U110" s="484"/>
      <c r="V110" s="484"/>
    </row>
    <row r="111" spans="1:22">
      <c r="A111" s="484"/>
      <c r="B111" s="484"/>
      <c r="C111" s="484"/>
      <c r="D111" s="484"/>
      <c r="E111" s="484"/>
      <c r="F111" s="484"/>
      <c r="G111" s="484"/>
      <c r="H111" s="484"/>
      <c r="I111" s="484"/>
      <c r="J111" s="484"/>
      <c r="K111" s="484"/>
      <c r="L111" s="484"/>
      <c r="M111" s="484"/>
      <c r="N111" s="484"/>
      <c r="O111" s="484"/>
      <c r="P111" s="484"/>
      <c r="Q111" s="484"/>
      <c r="R111" s="484"/>
      <c r="S111" s="484"/>
      <c r="T111" s="484"/>
      <c r="U111" s="484"/>
      <c r="V111" s="484"/>
    </row>
    <row r="112" spans="1:22">
      <c r="A112" s="484"/>
      <c r="B112" s="484"/>
      <c r="C112" s="484"/>
      <c r="D112" s="484"/>
      <c r="E112" s="484"/>
      <c r="F112" s="484"/>
      <c r="G112" s="484"/>
      <c r="H112" s="484"/>
      <c r="I112" s="484"/>
      <c r="J112" s="484"/>
      <c r="K112" s="484"/>
      <c r="L112" s="484"/>
      <c r="M112" s="484"/>
      <c r="N112" s="484"/>
      <c r="O112" s="484"/>
      <c r="P112" s="484"/>
      <c r="Q112" s="484"/>
      <c r="R112" s="484"/>
      <c r="S112" s="484"/>
      <c r="T112" s="484"/>
      <c r="U112" s="484"/>
      <c r="V112" s="484"/>
    </row>
    <row r="113" spans="1:22">
      <c r="A113" s="484"/>
      <c r="B113" s="484"/>
      <c r="C113" s="484"/>
      <c r="D113" s="484"/>
      <c r="E113" s="484"/>
      <c r="F113" s="484"/>
      <c r="G113" s="484"/>
      <c r="H113" s="484"/>
      <c r="I113" s="484"/>
      <c r="J113" s="484"/>
      <c r="K113" s="484"/>
      <c r="L113" s="484"/>
      <c r="M113" s="484"/>
      <c r="N113" s="484"/>
      <c r="O113" s="484"/>
      <c r="P113" s="484"/>
      <c r="Q113" s="484"/>
      <c r="R113" s="484"/>
      <c r="S113" s="484"/>
      <c r="T113" s="484"/>
      <c r="U113" s="484"/>
      <c r="V113" s="484"/>
    </row>
    <row r="114" spans="1:22">
      <c r="A114" s="484"/>
      <c r="B114" s="484"/>
      <c r="C114" s="484"/>
      <c r="D114" s="484"/>
      <c r="E114" s="484"/>
      <c r="F114" s="484"/>
      <c r="G114" s="484"/>
      <c r="H114" s="484"/>
      <c r="I114" s="484"/>
      <c r="J114" s="484"/>
      <c r="K114" s="484"/>
      <c r="L114" s="484"/>
      <c r="M114" s="484"/>
      <c r="N114" s="484"/>
      <c r="O114" s="484"/>
      <c r="P114" s="484"/>
      <c r="Q114" s="484"/>
      <c r="R114" s="484"/>
      <c r="S114" s="484"/>
      <c r="T114" s="484"/>
      <c r="U114" s="484"/>
      <c r="V114" s="484"/>
    </row>
    <row r="115" spans="1:22">
      <c r="A115" s="484"/>
      <c r="B115" s="484"/>
      <c r="C115" s="484"/>
      <c r="D115" s="484"/>
      <c r="E115" s="484"/>
      <c r="F115" s="484"/>
      <c r="G115" s="484"/>
      <c r="H115" s="484"/>
      <c r="I115" s="484"/>
      <c r="J115" s="484"/>
      <c r="K115" s="484"/>
      <c r="L115" s="484"/>
      <c r="M115" s="484"/>
      <c r="N115" s="484"/>
      <c r="O115" s="484"/>
      <c r="P115" s="484"/>
      <c r="Q115" s="484"/>
      <c r="R115" s="484"/>
      <c r="S115" s="484"/>
      <c r="T115" s="484"/>
      <c r="U115" s="484"/>
      <c r="V115" s="484"/>
    </row>
    <row r="116" spans="1:22">
      <c r="A116" s="484"/>
      <c r="B116" s="484"/>
      <c r="C116" s="484"/>
      <c r="D116" s="484"/>
      <c r="E116" s="484"/>
      <c r="F116" s="484"/>
      <c r="G116" s="484"/>
      <c r="H116" s="484"/>
      <c r="I116" s="484"/>
      <c r="J116" s="484"/>
      <c r="K116" s="484"/>
      <c r="L116" s="484"/>
      <c r="M116" s="484"/>
      <c r="N116" s="484"/>
      <c r="O116" s="484"/>
      <c r="P116" s="484"/>
      <c r="Q116" s="484"/>
      <c r="R116" s="484"/>
      <c r="S116" s="484"/>
      <c r="T116" s="484"/>
      <c r="U116" s="484"/>
      <c r="V116" s="484"/>
    </row>
  </sheetData>
  <hyperlinks>
    <hyperlink ref="A45" r:id="rId1" display="https://www.google.com/url?sa=t&amp;rct=j&amp;q=&amp;esrc=s&amp;source=web&amp;cd=&amp;ved=2ahUKEwjK6KOD1p_3AhUFgP0HHa4zDW4QFnoECAUQAQ&amp;url=https%3A%2F%2Fbygningsreglementet.dk%2F-%2Fmedia%2FBr%2FKap_5_Brand%2FVejledninger%2FGenerel-vejledning%2FKapitel-7%2FKapitel-7-Drift-kontrol-og-vedligehold-20200103.pdf&amp;usg=AOvVaw0ZRm4tG4Cy9SOH18uiBJJ0" xr:uid="{1E9D67D2-F2F0-45F6-88DB-9B02FA75F9E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3"/>
  <sheetViews>
    <sheetView workbookViewId="0">
      <pane ySplit="8" topLeftCell="A63" activePane="bottomLeft" state="frozen"/>
      <selection pane="bottomLeft" activeCell="B75" sqref="B75"/>
    </sheetView>
  </sheetViews>
  <sheetFormatPr defaultColWidth="8.7109375" defaultRowHeight="13.9"/>
  <cols>
    <col min="1" max="1" width="10.42578125" style="102" customWidth="1"/>
    <col min="2" max="2" width="38.7109375" style="103" bestFit="1" customWidth="1"/>
    <col min="3" max="3" width="49.7109375" style="117" bestFit="1" customWidth="1"/>
    <col min="4" max="4" width="20.42578125" style="103" bestFit="1" customWidth="1"/>
    <col min="5" max="5" width="36.7109375" style="103" bestFit="1" customWidth="1"/>
    <col min="6" max="6" width="12.42578125" style="103" customWidth="1"/>
    <col min="7" max="16384" width="8.7109375" style="103"/>
  </cols>
  <sheetData>
    <row r="1" spans="1:6" ht="12.75">
      <c r="A1" s="291"/>
      <c r="B1" s="290" t="s">
        <v>30</v>
      </c>
      <c r="E1" s="116"/>
      <c r="F1" s="102"/>
    </row>
    <row r="2" spans="1:6" ht="12.75">
      <c r="A2" s="291" t="s">
        <v>31</v>
      </c>
      <c r="B2" s="290" t="s">
        <v>32</v>
      </c>
      <c r="E2" s="116"/>
      <c r="F2" s="102"/>
    </row>
    <row r="3" spans="1:6" ht="12.75">
      <c r="A3" s="291" t="s">
        <v>33</v>
      </c>
      <c r="B3" s="290" t="s">
        <v>34</v>
      </c>
      <c r="E3" s="116"/>
      <c r="F3" s="102"/>
    </row>
    <row r="4" spans="1:6" ht="12.75">
      <c r="A4" s="291" t="s">
        <v>35</v>
      </c>
      <c r="B4" s="290" t="s">
        <v>36</v>
      </c>
      <c r="E4" s="116"/>
      <c r="F4" s="102"/>
    </row>
    <row r="5" spans="1:6" ht="12.75">
      <c r="A5" s="291" t="s">
        <v>37</v>
      </c>
      <c r="B5" s="290" t="s">
        <v>38</v>
      </c>
      <c r="E5" s="116"/>
    </row>
    <row r="6" spans="1:6" ht="12.75">
      <c r="A6" s="291" t="s">
        <v>39</v>
      </c>
      <c r="B6" s="290" t="s">
        <v>40</v>
      </c>
      <c r="E6" s="116"/>
    </row>
    <row r="7" spans="1:6" ht="12.75">
      <c r="A7" s="291" t="s">
        <v>41</v>
      </c>
      <c r="B7" s="290" t="s">
        <v>42</v>
      </c>
      <c r="E7" s="116"/>
    </row>
    <row r="8" spans="1:6" ht="12.75">
      <c r="A8" s="291" t="s">
        <v>43</v>
      </c>
      <c r="B8" s="290" t="s">
        <v>44</v>
      </c>
      <c r="E8" s="116"/>
    </row>
    <row r="9" spans="1:6">
      <c r="B9" s="102"/>
      <c r="C9" s="118" t="s">
        <v>45</v>
      </c>
      <c r="F9" s="102"/>
    </row>
    <row r="10" spans="1:6">
      <c r="A10" s="120" t="s">
        <v>15</v>
      </c>
      <c r="B10" s="120" t="s">
        <v>46</v>
      </c>
      <c r="C10" s="121" t="s">
        <v>47</v>
      </c>
      <c r="D10" s="122" t="s">
        <v>48</v>
      </c>
      <c r="E10" s="122" t="s">
        <v>49</v>
      </c>
      <c r="F10" s="120" t="s">
        <v>50</v>
      </c>
    </row>
    <row r="11" spans="1:6">
      <c r="A11" s="120"/>
      <c r="B11" s="120"/>
      <c r="C11" s="121"/>
      <c r="D11" s="122" t="s">
        <v>51</v>
      </c>
      <c r="E11" s="122"/>
      <c r="F11" s="120" t="s">
        <v>52</v>
      </c>
    </row>
    <row r="12" spans="1:6">
      <c r="A12" s="104">
        <v>44893</v>
      </c>
      <c r="B12" s="105" t="s">
        <v>74</v>
      </c>
      <c r="C12" s="119" t="s">
        <v>179</v>
      </c>
      <c r="D12" s="106"/>
      <c r="E12" s="106"/>
      <c r="F12" s="107"/>
    </row>
    <row r="13" spans="1:6">
      <c r="A13" s="104">
        <v>44895</v>
      </c>
      <c r="B13" s="105" t="s">
        <v>37</v>
      </c>
      <c r="C13" s="119" t="s">
        <v>180</v>
      </c>
      <c r="D13" s="108" t="s">
        <v>181</v>
      </c>
      <c r="E13" s="106" t="s">
        <v>182</v>
      </c>
      <c r="F13" s="107"/>
    </row>
    <row r="14" spans="1:6">
      <c r="A14" s="104">
        <v>44895</v>
      </c>
      <c r="B14" s="105" t="s">
        <v>183</v>
      </c>
      <c r="C14" s="119" t="s">
        <v>180</v>
      </c>
      <c r="D14" s="108">
        <v>44927</v>
      </c>
      <c r="E14" s="106" t="s">
        <v>184</v>
      </c>
      <c r="F14" s="105"/>
    </row>
    <row r="15" spans="1:6">
      <c r="A15" s="104">
        <v>44895</v>
      </c>
      <c r="B15" s="105" t="s">
        <v>41</v>
      </c>
      <c r="C15" s="119" t="s">
        <v>185</v>
      </c>
      <c r="D15" s="106"/>
      <c r="E15" s="106"/>
      <c r="F15" s="105"/>
    </row>
    <row r="16" spans="1:6">
      <c r="A16" s="104">
        <v>44895</v>
      </c>
      <c r="B16" s="105" t="s">
        <v>39</v>
      </c>
      <c r="C16" s="119" t="s">
        <v>186</v>
      </c>
      <c r="D16" s="108">
        <v>44927</v>
      </c>
      <c r="E16" s="106"/>
      <c r="F16" s="105"/>
    </row>
    <row r="17" spans="1:6">
      <c r="A17" s="104">
        <v>44895</v>
      </c>
      <c r="B17" s="105" t="s">
        <v>33</v>
      </c>
      <c r="C17" s="119" t="s">
        <v>179</v>
      </c>
      <c r="D17" s="106"/>
      <c r="E17" s="106"/>
      <c r="F17" s="105"/>
    </row>
    <row r="18" spans="1:6">
      <c r="A18" s="104">
        <v>44895</v>
      </c>
      <c r="B18" s="105" t="s">
        <v>43</v>
      </c>
      <c r="C18" s="119" t="s">
        <v>179</v>
      </c>
      <c r="D18" s="106"/>
      <c r="E18" s="106"/>
      <c r="F18" s="105"/>
    </row>
    <row r="19" spans="1:6">
      <c r="A19" s="104" t="s">
        <v>187</v>
      </c>
      <c r="B19" s="105" t="s">
        <v>31</v>
      </c>
      <c r="C19" s="119" t="s">
        <v>188</v>
      </c>
      <c r="D19" s="106"/>
      <c r="E19" s="106"/>
      <c r="F19" s="105"/>
    </row>
    <row r="20" spans="1:6">
      <c r="A20" s="104">
        <v>44925</v>
      </c>
      <c r="B20" s="105" t="s">
        <v>74</v>
      </c>
      <c r="C20" s="119" t="s">
        <v>179</v>
      </c>
      <c r="D20" s="106"/>
      <c r="E20" s="106"/>
      <c r="F20" s="105"/>
    </row>
    <row r="21" spans="1:6">
      <c r="A21" s="566">
        <v>2023</v>
      </c>
      <c r="B21" s="567"/>
      <c r="C21" s="567"/>
      <c r="D21" s="567"/>
      <c r="E21" s="567"/>
      <c r="F21" s="568"/>
    </row>
    <row r="22" spans="1:6">
      <c r="A22" s="104">
        <v>37273</v>
      </c>
      <c r="B22" s="105" t="s">
        <v>75</v>
      </c>
      <c r="C22" s="119" t="s">
        <v>189</v>
      </c>
      <c r="D22" s="106"/>
      <c r="E22" s="106"/>
      <c r="F22" s="105"/>
    </row>
    <row r="23" spans="1:6">
      <c r="A23" s="104">
        <v>44943</v>
      </c>
      <c r="B23" s="105" t="s">
        <v>37</v>
      </c>
      <c r="C23" s="119" t="s">
        <v>190</v>
      </c>
      <c r="D23" s="106"/>
      <c r="E23" s="106"/>
      <c r="F23" s="105"/>
    </row>
    <row r="24" spans="1:6">
      <c r="A24" s="104">
        <v>44943</v>
      </c>
      <c r="B24" s="105" t="s">
        <v>191</v>
      </c>
      <c r="C24" s="119" t="s">
        <v>192</v>
      </c>
      <c r="D24" s="106"/>
      <c r="E24" s="106"/>
      <c r="F24" s="105"/>
    </row>
    <row r="25" spans="1:6">
      <c r="A25" s="104">
        <v>44943</v>
      </c>
      <c r="B25" s="105" t="s">
        <v>193</v>
      </c>
      <c r="C25" s="119" t="s">
        <v>179</v>
      </c>
      <c r="D25" s="106"/>
      <c r="E25" s="106"/>
      <c r="F25" s="105"/>
    </row>
    <row r="26" spans="1:6">
      <c r="A26" s="104">
        <v>44943</v>
      </c>
      <c r="B26" s="105" t="s">
        <v>194</v>
      </c>
      <c r="C26" s="119" t="s">
        <v>179</v>
      </c>
      <c r="D26" s="106"/>
      <c r="E26" s="106"/>
      <c r="F26" s="105"/>
    </row>
    <row r="27" spans="1:6">
      <c r="A27" s="104">
        <v>44950</v>
      </c>
      <c r="B27" s="105" t="s">
        <v>195</v>
      </c>
      <c r="C27" s="119" t="s">
        <v>196</v>
      </c>
      <c r="D27" s="106"/>
      <c r="E27" s="106"/>
      <c r="F27" s="105"/>
    </row>
    <row r="28" spans="1:6">
      <c r="A28" s="104" t="s">
        <v>197</v>
      </c>
      <c r="B28" s="105" t="s">
        <v>74</v>
      </c>
      <c r="C28" s="119" t="s">
        <v>179</v>
      </c>
      <c r="D28" s="106"/>
      <c r="E28" s="106"/>
      <c r="F28" s="105"/>
    </row>
    <row r="29" spans="1:6">
      <c r="A29" s="104">
        <v>44981</v>
      </c>
      <c r="B29" s="105" t="s">
        <v>198</v>
      </c>
      <c r="C29" s="119" t="s">
        <v>199</v>
      </c>
      <c r="D29" s="106"/>
      <c r="E29" s="106"/>
      <c r="F29" s="105"/>
    </row>
    <row r="30" spans="1:6">
      <c r="A30" s="104">
        <v>44994</v>
      </c>
      <c r="B30" s="105" t="s">
        <v>200</v>
      </c>
      <c r="C30" s="119" t="s">
        <v>201</v>
      </c>
      <c r="D30" s="106"/>
      <c r="E30" s="106"/>
      <c r="F30" s="105"/>
    </row>
    <row r="31" spans="1:6" ht="13.35" customHeight="1">
      <c r="A31" s="104">
        <v>45001</v>
      </c>
      <c r="B31" s="105" t="s">
        <v>202</v>
      </c>
      <c r="C31" s="119" t="s">
        <v>203</v>
      </c>
      <c r="D31" s="106"/>
      <c r="E31" s="106"/>
      <c r="F31" s="105"/>
    </row>
    <row r="32" spans="1:6" ht="27.6">
      <c r="A32" s="104">
        <v>45001</v>
      </c>
      <c r="B32" s="105" t="s">
        <v>204</v>
      </c>
      <c r="C32" s="119" t="s">
        <v>205</v>
      </c>
      <c r="D32" s="106"/>
      <c r="E32" s="106"/>
      <c r="F32" s="105"/>
    </row>
    <row r="33" spans="1:6">
      <c r="A33" s="104">
        <v>45001</v>
      </c>
      <c r="B33" s="105" t="s">
        <v>195</v>
      </c>
      <c r="C33" s="119" t="s">
        <v>206</v>
      </c>
      <c r="D33" s="106"/>
      <c r="E33" s="106"/>
      <c r="F33" s="105"/>
    </row>
    <row r="34" spans="1:6">
      <c r="A34" s="104">
        <v>45042</v>
      </c>
      <c r="B34" s="105" t="s">
        <v>31</v>
      </c>
      <c r="C34" s="119" t="s">
        <v>207</v>
      </c>
      <c r="D34" s="106"/>
      <c r="E34" s="106"/>
      <c r="F34" s="105"/>
    </row>
    <row r="35" spans="1:6">
      <c r="A35" s="104">
        <v>45042</v>
      </c>
      <c r="B35" s="105" t="s">
        <v>208</v>
      </c>
      <c r="C35" s="119" t="s">
        <v>207</v>
      </c>
      <c r="D35" s="106"/>
      <c r="E35" s="106"/>
      <c r="F35" s="105"/>
    </row>
    <row r="36" spans="1:6">
      <c r="A36" s="104">
        <v>45042</v>
      </c>
      <c r="B36" s="105" t="s">
        <v>43</v>
      </c>
      <c r="C36" s="119" t="s">
        <v>207</v>
      </c>
      <c r="D36" s="106"/>
      <c r="E36" s="106"/>
      <c r="F36" s="105"/>
    </row>
    <row r="37" spans="1:6">
      <c r="A37" s="104">
        <v>45042</v>
      </c>
      <c r="B37" s="105" t="s">
        <v>33</v>
      </c>
      <c r="C37" s="119" t="s">
        <v>207</v>
      </c>
      <c r="D37" s="106"/>
      <c r="E37" s="106"/>
      <c r="F37" s="105"/>
    </row>
    <row r="38" spans="1:6">
      <c r="A38" s="104">
        <v>45042</v>
      </c>
      <c r="B38" s="105" t="s">
        <v>209</v>
      </c>
      <c r="C38" s="119" t="s">
        <v>207</v>
      </c>
      <c r="D38" s="106"/>
      <c r="E38" s="106"/>
      <c r="F38" s="105"/>
    </row>
    <row r="39" spans="1:6">
      <c r="A39" s="104">
        <v>45077</v>
      </c>
      <c r="B39" s="105" t="s">
        <v>31</v>
      </c>
      <c r="C39" s="119" t="s">
        <v>207</v>
      </c>
      <c r="D39" s="106"/>
      <c r="E39" s="106"/>
      <c r="F39" s="105"/>
    </row>
    <row r="40" spans="1:6">
      <c r="A40" s="104">
        <v>45077</v>
      </c>
      <c r="B40" s="105" t="s">
        <v>208</v>
      </c>
      <c r="C40" s="119" t="s">
        <v>207</v>
      </c>
      <c r="D40" s="106"/>
      <c r="E40" s="106"/>
      <c r="F40" s="105"/>
    </row>
    <row r="41" spans="1:6">
      <c r="A41" s="104">
        <v>45077</v>
      </c>
      <c r="B41" s="105" t="s">
        <v>43</v>
      </c>
      <c r="C41" s="119" t="s">
        <v>207</v>
      </c>
      <c r="D41" s="106"/>
      <c r="E41" s="106"/>
      <c r="F41" s="105"/>
    </row>
    <row r="42" spans="1:6">
      <c r="A42" s="104">
        <v>45077</v>
      </c>
      <c r="B42" s="105" t="s">
        <v>33</v>
      </c>
      <c r="C42" s="119" t="s">
        <v>207</v>
      </c>
      <c r="D42" s="106"/>
      <c r="E42" s="106"/>
      <c r="F42" s="105"/>
    </row>
    <row r="43" spans="1:6">
      <c r="A43" s="104">
        <v>45077</v>
      </c>
      <c r="B43" s="105" t="s">
        <v>209</v>
      </c>
      <c r="C43" s="119" t="s">
        <v>207</v>
      </c>
      <c r="D43" s="106"/>
      <c r="E43" s="106"/>
      <c r="F43" s="105"/>
    </row>
    <row r="44" spans="1:6">
      <c r="A44" s="104">
        <v>45077</v>
      </c>
      <c r="B44" s="105" t="s">
        <v>194</v>
      </c>
      <c r="C44" s="119" t="s">
        <v>207</v>
      </c>
      <c r="D44" s="106"/>
      <c r="E44" s="106"/>
      <c r="F44" s="105"/>
    </row>
    <row r="45" spans="1:6">
      <c r="A45" s="292">
        <v>45105</v>
      </c>
      <c r="B45" s="106" t="s">
        <v>210</v>
      </c>
      <c r="C45" s="119" t="s">
        <v>179</v>
      </c>
      <c r="D45" s="106"/>
      <c r="E45" s="106"/>
      <c r="F45" s="105"/>
    </row>
    <row r="46" spans="1:6">
      <c r="A46" s="104">
        <v>45105</v>
      </c>
      <c r="B46" s="106" t="s">
        <v>193</v>
      </c>
      <c r="C46" s="119"/>
      <c r="D46" s="106"/>
      <c r="E46" s="106"/>
      <c r="F46" s="105"/>
    </row>
    <row r="47" spans="1:6">
      <c r="A47" s="105" t="s">
        <v>211</v>
      </c>
      <c r="B47" s="106" t="s">
        <v>212</v>
      </c>
      <c r="C47" s="119" t="s">
        <v>179</v>
      </c>
      <c r="D47" s="106"/>
      <c r="E47" s="106"/>
      <c r="F47" s="105"/>
    </row>
    <row r="48" spans="1:6">
      <c r="A48" s="104">
        <v>45105</v>
      </c>
      <c r="B48" s="106" t="s">
        <v>213</v>
      </c>
      <c r="C48" s="119" t="s">
        <v>179</v>
      </c>
      <c r="D48" s="106"/>
      <c r="E48" s="106"/>
      <c r="F48" s="105"/>
    </row>
    <row r="49" spans="1:6">
      <c r="A49" s="104">
        <v>45113</v>
      </c>
      <c r="B49" s="106" t="s">
        <v>214</v>
      </c>
      <c r="C49" s="119" t="s">
        <v>215</v>
      </c>
      <c r="D49" s="106"/>
      <c r="E49" s="106"/>
      <c r="F49" s="105"/>
    </row>
    <row r="50" spans="1:6">
      <c r="A50" s="104">
        <v>45134</v>
      </c>
      <c r="B50" s="106" t="s">
        <v>216</v>
      </c>
      <c r="C50" s="119" t="s">
        <v>179</v>
      </c>
      <c r="D50" s="106"/>
      <c r="E50" s="106"/>
      <c r="F50" s="105"/>
    </row>
    <row r="51" spans="1:6">
      <c r="A51" s="104">
        <v>45169</v>
      </c>
      <c r="B51" s="106" t="s">
        <v>217</v>
      </c>
      <c r="C51" s="119" t="s">
        <v>207</v>
      </c>
      <c r="D51" s="106"/>
      <c r="E51" s="106"/>
      <c r="F51" s="105"/>
    </row>
    <row r="52" spans="1:6">
      <c r="A52" s="104">
        <v>45167</v>
      </c>
      <c r="B52" s="106" t="s">
        <v>218</v>
      </c>
      <c r="C52" s="119" t="s">
        <v>179</v>
      </c>
      <c r="D52" s="106"/>
      <c r="E52" s="106"/>
      <c r="F52" s="105"/>
    </row>
    <row r="53" spans="1:6">
      <c r="A53" s="123">
        <v>45170</v>
      </c>
      <c r="B53" s="105" t="s">
        <v>219</v>
      </c>
      <c r="C53" s="124" t="s">
        <v>179</v>
      </c>
      <c r="D53" s="106"/>
      <c r="E53" s="106"/>
      <c r="F53" s="107"/>
    </row>
    <row r="54" spans="1:6">
      <c r="A54" s="104">
        <v>45188</v>
      </c>
      <c r="B54" s="106" t="s">
        <v>220</v>
      </c>
      <c r="C54" s="119" t="s">
        <v>221</v>
      </c>
      <c r="D54" s="106"/>
      <c r="E54" s="122"/>
      <c r="F54" s="120"/>
    </row>
    <row r="55" spans="1:6">
      <c r="A55" s="104">
        <v>45196</v>
      </c>
      <c r="B55" s="106" t="s">
        <v>222</v>
      </c>
      <c r="C55" s="119" t="s">
        <v>179</v>
      </c>
      <c r="D55" s="106"/>
      <c r="E55" s="122"/>
      <c r="F55" s="120"/>
    </row>
    <row r="56" spans="1:6">
      <c r="A56" s="104">
        <v>45224</v>
      </c>
      <c r="B56" s="106" t="s">
        <v>223</v>
      </c>
      <c r="C56" s="119" t="s">
        <v>224</v>
      </c>
      <c r="D56" s="106"/>
      <c r="E56" s="122"/>
      <c r="F56" s="120"/>
    </row>
    <row r="57" spans="1:6">
      <c r="A57" s="104">
        <v>45268</v>
      </c>
      <c r="B57" s="106" t="s">
        <v>74</v>
      </c>
      <c r="C57" s="119" t="s">
        <v>179</v>
      </c>
      <c r="D57" s="106"/>
      <c r="E57" s="122"/>
      <c r="F57" s="120"/>
    </row>
    <row r="58" spans="1:6">
      <c r="A58" s="301">
        <v>45268</v>
      </c>
      <c r="B58" s="302" t="s">
        <v>225</v>
      </c>
      <c r="C58" s="303" t="s">
        <v>179</v>
      </c>
      <c r="D58" s="304"/>
      <c r="E58" s="304"/>
      <c r="F58" s="302"/>
    </row>
    <row r="59" spans="1:6" s="293" customFormat="1" ht="12.75">
      <c r="A59" s="294"/>
      <c r="B59" s="295"/>
      <c r="C59" s="296">
        <v>2024</v>
      </c>
      <c r="D59" s="297"/>
      <c r="E59" s="297"/>
      <c r="F59" s="295"/>
    </row>
    <row r="60" spans="1:6" ht="13.5">
      <c r="A60" s="298">
        <v>45317</v>
      </c>
      <c r="B60" s="299" t="s">
        <v>195</v>
      </c>
      <c r="C60" s="300" t="s">
        <v>179</v>
      </c>
      <c r="D60" s="299"/>
      <c r="E60" s="299"/>
      <c r="F60" s="299"/>
    </row>
    <row r="61" spans="1:6" ht="13.5">
      <c r="A61" s="298">
        <v>45321</v>
      </c>
      <c r="B61" s="299" t="s">
        <v>226</v>
      </c>
      <c r="C61" s="300" t="s">
        <v>179</v>
      </c>
      <c r="D61" s="299"/>
      <c r="E61" s="299"/>
      <c r="F61" s="299"/>
    </row>
    <row r="62" spans="1:6" ht="13.5">
      <c r="A62" s="298">
        <v>45352</v>
      </c>
      <c r="B62" s="299" t="s">
        <v>195</v>
      </c>
      <c r="C62" s="300" t="s">
        <v>179</v>
      </c>
      <c r="D62" s="299"/>
      <c r="E62" s="299"/>
      <c r="F62" s="299"/>
    </row>
    <row r="63" spans="1:6" ht="13.5">
      <c r="A63" s="298">
        <v>45352</v>
      </c>
      <c r="B63" s="299" t="s">
        <v>227</v>
      </c>
      <c r="C63" s="300" t="s">
        <v>179</v>
      </c>
      <c r="D63" s="299"/>
      <c r="E63" s="299"/>
      <c r="F63" s="299"/>
    </row>
    <row r="64" spans="1:6" ht="13.5">
      <c r="A64" s="298">
        <v>184178</v>
      </c>
      <c r="B64" s="299" t="s">
        <v>228</v>
      </c>
      <c r="C64" s="300" t="s">
        <v>179</v>
      </c>
      <c r="D64" s="299"/>
      <c r="E64" s="299"/>
      <c r="F64" s="299"/>
    </row>
    <row r="65" spans="1:6" ht="13.5">
      <c r="A65" s="298">
        <v>45386</v>
      </c>
      <c r="B65" s="299" t="s">
        <v>227</v>
      </c>
      <c r="C65" s="300" t="s">
        <v>179</v>
      </c>
      <c r="D65" s="299"/>
      <c r="E65" s="299"/>
      <c r="F65" s="299"/>
    </row>
    <row r="66" spans="1:6" ht="13.5">
      <c r="A66" s="298">
        <v>45419</v>
      </c>
      <c r="B66" s="308" t="s">
        <v>229</v>
      </c>
      <c r="C66" s="300" t="s">
        <v>224</v>
      </c>
      <c r="D66" s="299"/>
      <c r="E66" s="299"/>
      <c r="F66" s="299"/>
    </row>
    <row r="67" spans="1:6" ht="13.5">
      <c r="A67" s="351">
        <v>45419</v>
      </c>
      <c r="B67" s="350" t="s">
        <v>37</v>
      </c>
      <c r="C67" s="353" t="s">
        <v>55</v>
      </c>
      <c r="D67" s="299"/>
      <c r="E67" s="299"/>
      <c r="F67" s="299"/>
    </row>
    <row r="68" spans="1:6" ht="13.5">
      <c r="A68" s="352">
        <v>45419</v>
      </c>
      <c r="B68" s="350" t="s">
        <v>33</v>
      </c>
      <c r="C68" s="354" t="s">
        <v>55</v>
      </c>
      <c r="D68" s="308"/>
      <c r="E68" s="308"/>
      <c r="F68" s="308" t="s">
        <v>230</v>
      </c>
    </row>
    <row r="69" spans="1:6" ht="13.5">
      <c r="A69" s="352">
        <v>45446</v>
      </c>
      <c r="B69" s="299" t="s">
        <v>31</v>
      </c>
      <c r="C69" s="354" t="s">
        <v>55</v>
      </c>
      <c r="D69" s="308"/>
      <c r="E69" s="308"/>
      <c r="F69" s="308" t="s">
        <v>58</v>
      </c>
    </row>
    <row r="70" spans="1:6" ht="13.5">
      <c r="A70" s="352">
        <v>45446</v>
      </c>
      <c r="B70" s="299" t="s">
        <v>37</v>
      </c>
      <c r="C70" s="354" t="s">
        <v>55</v>
      </c>
      <c r="D70" s="308"/>
      <c r="E70" s="308"/>
      <c r="F70" s="308" t="s">
        <v>58</v>
      </c>
    </row>
    <row r="71" spans="1:6" ht="13.5">
      <c r="A71" s="355">
        <v>45476</v>
      </c>
      <c r="B71" s="356" t="s">
        <v>74</v>
      </c>
      <c r="C71" s="363" t="s">
        <v>55</v>
      </c>
      <c r="D71" s="356"/>
      <c r="E71" s="356"/>
      <c r="F71" s="299" t="s">
        <v>230</v>
      </c>
    </row>
    <row r="72" spans="1:6" ht="13.5">
      <c r="A72" s="355">
        <v>45476</v>
      </c>
      <c r="B72" s="357" t="s">
        <v>231</v>
      </c>
      <c r="C72" s="363" t="s">
        <v>55</v>
      </c>
      <c r="D72" s="356"/>
      <c r="E72" s="356"/>
      <c r="F72" s="299" t="s">
        <v>230</v>
      </c>
    </row>
    <row r="73" spans="1:6" ht="13.5">
      <c r="A73" s="367">
        <v>45476</v>
      </c>
      <c r="B73" s="357" t="s">
        <v>232</v>
      </c>
      <c r="C73" s="366" t="s">
        <v>55</v>
      </c>
      <c r="D73" s="364"/>
      <c r="E73" s="356"/>
      <c r="F73" s="299" t="s">
        <v>230</v>
      </c>
    </row>
    <row r="74" spans="1:6" ht="13.5">
      <c r="A74" s="367">
        <v>45477</v>
      </c>
      <c r="B74" s="356"/>
      <c r="C74" s="366" t="s">
        <v>233</v>
      </c>
      <c r="D74" s="364"/>
      <c r="E74" s="356"/>
      <c r="F74" s="299" t="s">
        <v>60</v>
      </c>
    </row>
    <row r="75" spans="1:6" ht="12.75">
      <c r="A75" s="365"/>
      <c r="B75" s="356"/>
      <c r="C75" s="366"/>
      <c r="D75" s="364"/>
      <c r="E75" s="356"/>
      <c r="F75" s="299"/>
    </row>
    <row r="76" spans="1:6" ht="12.75">
      <c r="A76" s="365"/>
      <c r="B76" s="356"/>
      <c r="C76" s="366"/>
      <c r="D76" s="356"/>
      <c r="E76" s="356"/>
      <c r="F76" s="299"/>
    </row>
    <row r="77" spans="1:6" ht="12.75">
      <c r="A77" s="365"/>
      <c r="B77" s="356"/>
      <c r="C77" s="366"/>
      <c r="D77" s="356"/>
      <c r="E77" s="356"/>
      <c r="F77" s="299"/>
    </row>
    <row r="78" spans="1:6" ht="12.75">
      <c r="A78" s="365"/>
      <c r="B78" s="356"/>
      <c r="C78" s="366"/>
      <c r="D78" s="356"/>
      <c r="E78" s="356"/>
      <c r="F78" s="299"/>
    </row>
    <row r="79" spans="1:6" ht="12.75">
      <c r="A79" s="365"/>
      <c r="B79" s="356"/>
      <c r="C79" s="366"/>
      <c r="D79" s="356"/>
      <c r="E79" s="356"/>
      <c r="F79" s="299"/>
    </row>
    <row r="80" spans="1:6" ht="12.75">
      <c r="A80" s="365"/>
      <c r="B80" s="356"/>
      <c r="C80" s="366"/>
      <c r="D80" s="356"/>
      <c r="E80" s="356"/>
      <c r="F80" s="299"/>
    </row>
    <row r="81" spans="1:6">
      <c r="A81" s="306"/>
      <c r="B81" s="299"/>
      <c r="C81" s="300"/>
      <c r="D81" s="299"/>
      <c r="E81" s="299"/>
      <c r="F81" s="299"/>
    </row>
    <row r="82" spans="1:6">
      <c r="A82" s="306"/>
      <c r="B82" s="299"/>
      <c r="C82" s="300"/>
      <c r="D82" s="299"/>
      <c r="E82" s="299"/>
      <c r="F82" s="299"/>
    </row>
    <row r="83" spans="1:6">
      <c r="A83" s="306"/>
      <c r="B83" s="299"/>
      <c r="C83" s="300"/>
      <c r="D83" s="299"/>
      <c r="E83" s="299"/>
      <c r="F83" s="299"/>
    </row>
  </sheetData>
  <mergeCells count="1">
    <mergeCell ref="A21:F21"/>
  </mergeCells>
  <pageMargins left="0.11811023622047245" right="0.11811023622047245" top="0.15748031496062992" bottom="0.15748031496062992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29"/>
  <sheetViews>
    <sheetView topLeftCell="E1" workbookViewId="0">
      <selection activeCell="Z18" sqref="Z18"/>
    </sheetView>
  </sheetViews>
  <sheetFormatPr defaultRowHeight="14.45"/>
  <cols>
    <col min="1" max="1" width="34.7109375" bestFit="1" customWidth="1"/>
  </cols>
  <sheetData>
    <row r="2" spans="1:27" ht="73.150000000000006" thickBot="1">
      <c r="A2" s="18" t="s">
        <v>234</v>
      </c>
      <c r="B2" s="2" t="s">
        <v>112</v>
      </c>
      <c r="C2" s="2" t="s">
        <v>113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85</v>
      </c>
      <c r="L2" s="2" t="s">
        <v>86</v>
      </c>
      <c r="M2" s="19" t="s">
        <v>87</v>
      </c>
      <c r="N2" s="19" t="s">
        <v>17</v>
      </c>
      <c r="O2" s="19" t="s">
        <v>18</v>
      </c>
      <c r="P2" s="19" t="s">
        <v>19</v>
      </c>
      <c r="Q2" s="19" t="s">
        <v>88</v>
      </c>
      <c r="R2" s="19" t="s">
        <v>21</v>
      </c>
      <c r="S2" s="19" t="s">
        <v>22</v>
      </c>
      <c r="T2" s="19" t="s">
        <v>23</v>
      </c>
      <c r="U2" s="19" t="s">
        <v>24</v>
      </c>
      <c r="V2" s="19" t="s">
        <v>25</v>
      </c>
      <c r="W2" s="19" t="s">
        <v>26</v>
      </c>
      <c r="X2" s="20" t="s">
        <v>27</v>
      </c>
      <c r="Y2" s="21" t="s">
        <v>89</v>
      </c>
      <c r="Z2" s="22" t="s">
        <v>52</v>
      </c>
    </row>
    <row r="3" spans="1:27" ht="15" thickBot="1">
      <c r="A3" s="23" t="s">
        <v>90</v>
      </c>
      <c r="B3" s="24"/>
      <c r="C3" s="25"/>
      <c r="D3" s="25"/>
      <c r="E3" s="25"/>
      <c r="F3" s="25"/>
      <c r="G3" s="26" t="s">
        <v>91</v>
      </c>
      <c r="H3" s="25"/>
      <c r="I3" s="25"/>
      <c r="J3" s="25"/>
      <c r="K3" s="25"/>
      <c r="L3" s="27"/>
      <c r="M3" s="28"/>
      <c r="N3" s="29"/>
      <c r="O3" s="29"/>
      <c r="P3" s="29"/>
      <c r="Q3" s="29"/>
      <c r="R3" s="29"/>
      <c r="S3" s="29" t="s">
        <v>235</v>
      </c>
      <c r="T3" s="29"/>
      <c r="U3" s="29"/>
      <c r="V3" s="29"/>
      <c r="W3" s="29"/>
      <c r="X3" s="30"/>
      <c r="Y3" s="30" t="s">
        <v>68</v>
      </c>
      <c r="Z3" s="31"/>
      <c r="AA3" s="4" t="s">
        <v>236</v>
      </c>
    </row>
    <row r="4" spans="1:27" ht="15" thickBot="1">
      <c r="A4" s="23" t="s">
        <v>30</v>
      </c>
      <c r="B4" s="24"/>
      <c r="C4" s="25"/>
      <c r="D4" s="25"/>
      <c r="E4" s="25"/>
      <c r="F4" s="25"/>
      <c r="G4" s="25"/>
      <c r="H4" s="32" t="s">
        <v>91</v>
      </c>
      <c r="I4" s="25"/>
      <c r="J4" s="25"/>
      <c r="K4" s="25"/>
      <c r="L4" s="27"/>
      <c r="M4" s="24">
        <v>2021</v>
      </c>
      <c r="N4" s="33"/>
      <c r="O4" s="33"/>
      <c r="P4" s="33">
        <v>2022</v>
      </c>
      <c r="Q4" s="33"/>
      <c r="R4" s="33"/>
      <c r="S4" s="33"/>
      <c r="T4" s="33"/>
      <c r="U4" s="33"/>
      <c r="V4" s="33"/>
      <c r="W4" s="33"/>
      <c r="X4" s="34"/>
      <c r="Y4" s="34">
        <v>1</v>
      </c>
      <c r="Z4" s="35" t="s">
        <v>237</v>
      </c>
      <c r="AA4" s="5" t="s">
        <v>238</v>
      </c>
    </row>
    <row r="5" spans="1:27">
      <c r="A5" s="36" t="s">
        <v>92</v>
      </c>
      <c r="B5" s="37"/>
      <c r="C5" s="38"/>
      <c r="D5" s="39" t="s">
        <v>91</v>
      </c>
      <c r="E5" s="38"/>
      <c r="F5" s="38"/>
      <c r="G5" s="38"/>
      <c r="H5" s="38"/>
      <c r="I5" s="38"/>
      <c r="J5" s="38"/>
      <c r="K5" s="38"/>
      <c r="L5" s="40"/>
      <c r="M5" s="41" t="s">
        <v>91</v>
      </c>
      <c r="N5" s="42" t="s">
        <v>91</v>
      </c>
      <c r="O5" s="42" t="s">
        <v>91</v>
      </c>
      <c r="P5" s="100">
        <v>44680</v>
      </c>
      <c r="Q5" s="42" t="s">
        <v>239</v>
      </c>
      <c r="R5" s="42" t="s">
        <v>91</v>
      </c>
      <c r="S5" s="42" t="s">
        <v>91</v>
      </c>
      <c r="T5" s="42" t="s">
        <v>91</v>
      </c>
      <c r="U5" s="42" t="s">
        <v>240</v>
      </c>
      <c r="V5" s="101">
        <v>44846</v>
      </c>
      <c r="W5" s="42" t="s">
        <v>91</v>
      </c>
      <c r="X5" s="43" t="s">
        <v>91</v>
      </c>
      <c r="Y5" s="43" t="s">
        <v>68</v>
      </c>
      <c r="Z5" s="44"/>
      <c r="AA5" s="6" t="s">
        <v>241</v>
      </c>
    </row>
    <row r="6" spans="1:27">
      <c r="A6" s="7"/>
      <c r="B6" s="45"/>
      <c r="C6" s="46"/>
      <c r="D6" s="46"/>
      <c r="E6" s="46"/>
      <c r="F6" s="46"/>
      <c r="G6" s="47" t="s">
        <v>91</v>
      </c>
      <c r="H6" s="46"/>
      <c r="I6" s="46"/>
      <c r="J6" s="46"/>
      <c r="K6" s="46"/>
      <c r="L6" s="48"/>
      <c r="M6" s="12"/>
      <c r="N6" s="46">
        <v>2021</v>
      </c>
      <c r="O6" s="8"/>
      <c r="P6" s="8"/>
      <c r="Q6" s="8"/>
      <c r="R6" s="8"/>
      <c r="S6" s="8"/>
      <c r="T6" s="8"/>
      <c r="U6" s="8"/>
      <c r="V6" s="8"/>
      <c r="W6" s="8"/>
      <c r="X6" s="49"/>
      <c r="Y6" s="49">
        <v>2</v>
      </c>
      <c r="Z6" s="50" t="s">
        <v>242</v>
      </c>
      <c r="AA6" s="1" t="s">
        <v>243</v>
      </c>
    </row>
    <row r="7" spans="1:27" ht="15" thickBot="1">
      <c r="A7" s="51"/>
      <c r="B7" s="52"/>
      <c r="C7" s="53"/>
      <c r="D7" s="53"/>
      <c r="E7" s="53"/>
      <c r="F7" s="53"/>
      <c r="G7" s="54" t="s">
        <v>91</v>
      </c>
      <c r="H7" s="53"/>
      <c r="I7" s="53"/>
      <c r="J7" s="53"/>
      <c r="K7" s="53"/>
      <c r="L7" s="55"/>
      <c r="M7" s="56"/>
      <c r="N7" s="57"/>
      <c r="O7" s="57"/>
      <c r="P7" s="57"/>
      <c r="Q7" s="57"/>
      <c r="R7" s="57"/>
      <c r="S7" s="57"/>
      <c r="T7" s="57"/>
      <c r="U7" s="57"/>
      <c r="V7" s="57"/>
      <c r="W7" s="53">
        <v>2021</v>
      </c>
      <c r="X7" s="58"/>
      <c r="Y7" s="58">
        <v>3</v>
      </c>
      <c r="Z7" s="59" t="s">
        <v>60</v>
      </c>
      <c r="AA7" s="9" t="s">
        <v>244</v>
      </c>
    </row>
    <row r="8" spans="1:27">
      <c r="A8" s="36" t="s">
        <v>95</v>
      </c>
      <c r="B8" s="60"/>
      <c r="C8" s="61"/>
      <c r="D8" s="61"/>
      <c r="E8" s="62" t="s">
        <v>91</v>
      </c>
      <c r="F8" s="61"/>
      <c r="G8" s="61"/>
      <c r="H8" s="61"/>
      <c r="I8" s="61"/>
      <c r="J8" s="61"/>
      <c r="K8" s="61"/>
      <c r="L8" s="63"/>
      <c r="M8" s="41" t="s">
        <v>91</v>
      </c>
      <c r="N8" s="42" t="s">
        <v>91</v>
      </c>
      <c r="O8" s="42" t="s">
        <v>91</v>
      </c>
      <c r="P8" s="42" t="s">
        <v>91</v>
      </c>
      <c r="Q8" s="42" t="s">
        <v>91</v>
      </c>
      <c r="R8" s="42" t="s">
        <v>91</v>
      </c>
      <c r="S8" s="42" t="s">
        <v>91</v>
      </c>
      <c r="T8" s="42" t="s">
        <v>91</v>
      </c>
      <c r="U8" s="42" t="s">
        <v>91</v>
      </c>
      <c r="V8" s="42" t="s">
        <v>91</v>
      </c>
      <c r="W8" s="42" t="s">
        <v>91</v>
      </c>
      <c r="X8" s="43" t="s">
        <v>91</v>
      </c>
      <c r="Y8" s="43" t="s">
        <v>68</v>
      </c>
      <c r="Z8" s="44"/>
      <c r="AA8" s="6" t="s">
        <v>245</v>
      </c>
    </row>
    <row r="9" spans="1:27" ht="15" thickBot="1">
      <c r="A9" s="64" t="s">
        <v>96</v>
      </c>
      <c r="B9" s="65"/>
      <c r="C9" s="66"/>
      <c r="D9" s="66"/>
      <c r="E9" s="66"/>
      <c r="F9" s="66"/>
      <c r="G9" s="53"/>
      <c r="H9" s="67" t="s">
        <v>91</v>
      </c>
      <c r="I9" s="66"/>
      <c r="J9" s="66"/>
      <c r="K9" s="66"/>
      <c r="L9" s="68"/>
      <c r="M9" s="56"/>
      <c r="N9" s="57"/>
      <c r="O9" s="57"/>
      <c r="P9" s="57"/>
      <c r="Q9" s="57"/>
      <c r="R9" s="57"/>
      <c r="S9" s="57"/>
      <c r="T9" s="57"/>
      <c r="U9" s="57"/>
      <c r="V9" s="57"/>
      <c r="W9" s="57"/>
      <c r="X9" s="58"/>
      <c r="Y9" s="58">
        <v>1</v>
      </c>
      <c r="Z9" s="59" t="s">
        <v>237</v>
      </c>
      <c r="AA9" s="10" t="s">
        <v>246</v>
      </c>
    </row>
    <row r="10" spans="1:27">
      <c r="A10" s="36" t="s">
        <v>97</v>
      </c>
      <c r="B10" s="69"/>
      <c r="C10" s="38"/>
      <c r="D10" s="38"/>
      <c r="E10" s="39" t="s">
        <v>91</v>
      </c>
      <c r="F10" s="38"/>
      <c r="G10" s="38"/>
      <c r="H10" s="38"/>
      <c r="I10" s="38"/>
      <c r="J10" s="38"/>
      <c r="K10" s="38"/>
      <c r="L10" s="40"/>
      <c r="M10" s="41"/>
      <c r="N10" s="42"/>
      <c r="O10" s="42" t="s">
        <v>91</v>
      </c>
      <c r="P10" s="42"/>
      <c r="Q10" s="42"/>
      <c r="R10" s="42" t="s">
        <v>91</v>
      </c>
      <c r="S10" s="42"/>
      <c r="T10" s="42"/>
      <c r="U10" s="42" t="s">
        <v>91</v>
      </c>
      <c r="V10" s="42"/>
      <c r="W10" s="42"/>
      <c r="X10" s="43" t="s">
        <v>91</v>
      </c>
      <c r="Y10" s="43" t="s">
        <v>68</v>
      </c>
      <c r="Z10" s="44"/>
      <c r="AA10" s="1" t="s">
        <v>126</v>
      </c>
    </row>
    <row r="11" spans="1:27">
      <c r="A11" s="11" t="s">
        <v>98</v>
      </c>
      <c r="B11" s="70"/>
      <c r="C11" s="46"/>
      <c r="D11" s="46"/>
      <c r="E11" s="46"/>
      <c r="F11" s="46"/>
      <c r="G11" s="46"/>
      <c r="H11" s="47" t="s">
        <v>91</v>
      </c>
      <c r="I11" s="46"/>
      <c r="J11" s="46"/>
      <c r="K11" s="46"/>
      <c r="L11" s="48"/>
      <c r="M11" s="12"/>
      <c r="N11" s="8"/>
      <c r="O11" s="8"/>
      <c r="P11" s="8"/>
      <c r="Q11" s="8"/>
      <c r="R11" s="8"/>
      <c r="S11" s="71" t="s">
        <v>91</v>
      </c>
      <c r="T11" s="8"/>
      <c r="U11" s="8"/>
      <c r="V11" s="8"/>
      <c r="W11" s="8"/>
      <c r="X11" s="49"/>
      <c r="Y11" s="49">
        <v>4</v>
      </c>
      <c r="Z11" s="50" t="s">
        <v>247</v>
      </c>
      <c r="AA11" s="1" t="s">
        <v>246</v>
      </c>
    </row>
    <row r="12" spans="1:27" ht="15" thickBot="1">
      <c r="A12" s="64"/>
      <c r="B12" s="72"/>
      <c r="C12" s="53"/>
      <c r="D12" s="53"/>
      <c r="E12" s="53"/>
      <c r="F12" s="53"/>
      <c r="G12" s="53"/>
      <c r="H12" s="53"/>
      <c r="I12" s="53"/>
      <c r="J12" s="54" t="s">
        <v>91</v>
      </c>
      <c r="K12" s="53"/>
      <c r="L12" s="55"/>
      <c r="M12" s="56"/>
      <c r="N12" s="57"/>
      <c r="O12" s="57"/>
      <c r="P12" s="57"/>
      <c r="Q12" s="57"/>
      <c r="R12" s="57"/>
      <c r="S12" s="73" t="s">
        <v>91</v>
      </c>
      <c r="T12" s="57"/>
      <c r="U12" s="57"/>
      <c r="V12" s="57"/>
      <c r="W12" s="57"/>
      <c r="X12" s="58"/>
      <c r="Y12" s="58">
        <v>4</v>
      </c>
      <c r="Z12" s="59" t="s">
        <v>247</v>
      </c>
      <c r="AA12" s="1" t="s">
        <v>244</v>
      </c>
    </row>
    <row r="13" spans="1:27">
      <c r="A13" s="36" t="s">
        <v>99</v>
      </c>
      <c r="B13" s="69"/>
      <c r="C13" s="38"/>
      <c r="D13" s="39" t="s">
        <v>91</v>
      </c>
      <c r="E13" s="3"/>
      <c r="F13" s="3"/>
      <c r="G13" s="3"/>
      <c r="H13" s="38"/>
      <c r="I13" s="38"/>
      <c r="J13" s="38"/>
      <c r="K13" s="38"/>
      <c r="L13" s="40"/>
      <c r="M13" s="41" t="s">
        <v>91</v>
      </c>
      <c r="N13" s="42" t="s">
        <v>91</v>
      </c>
      <c r="O13" s="42" t="s">
        <v>91</v>
      </c>
      <c r="P13" s="42" t="s">
        <v>91</v>
      </c>
      <c r="Q13" s="42" t="s">
        <v>91</v>
      </c>
      <c r="R13" s="42" t="s">
        <v>91</v>
      </c>
      <c r="S13" s="42" t="s">
        <v>91</v>
      </c>
      <c r="T13" s="42" t="s">
        <v>91</v>
      </c>
      <c r="U13" s="42" t="s">
        <v>91</v>
      </c>
      <c r="V13" s="42" t="s">
        <v>91</v>
      </c>
      <c r="W13" s="42" t="s">
        <v>91</v>
      </c>
      <c r="X13" s="43" t="s">
        <v>91</v>
      </c>
      <c r="Y13" s="43" t="s">
        <v>68</v>
      </c>
      <c r="Z13" s="44"/>
      <c r="AA13" s="6" t="s">
        <v>248</v>
      </c>
    </row>
    <row r="14" spans="1:27">
      <c r="A14" s="11" t="s">
        <v>100</v>
      </c>
      <c r="B14" s="70"/>
      <c r="C14" s="46"/>
      <c r="D14" s="46"/>
      <c r="E14" s="46"/>
      <c r="F14" s="74" t="s">
        <v>91</v>
      </c>
      <c r="G14" s="46"/>
      <c r="H14" s="46"/>
      <c r="I14" s="46"/>
      <c r="J14" s="46"/>
      <c r="K14" s="46"/>
      <c r="L14" s="48"/>
      <c r="M14" s="75"/>
      <c r="N14" s="76"/>
      <c r="O14" s="76"/>
      <c r="P14" s="76" t="s">
        <v>91</v>
      </c>
      <c r="Q14" s="76"/>
      <c r="R14" s="76"/>
      <c r="S14" s="76"/>
      <c r="T14" s="76"/>
      <c r="U14" s="76"/>
      <c r="V14" s="76" t="s">
        <v>91</v>
      </c>
      <c r="W14" s="76"/>
      <c r="X14" s="77"/>
      <c r="Y14" s="77" t="s">
        <v>68</v>
      </c>
      <c r="Z14" s="78"/>
      <c r="AA14" s="1" t="s">
        <v>249</v>
      </c>
    </row>
    <row r="15" spans="1:27">
      <c r="A15" s="11"/>
      <c r="B15" s="70"/>
      <c r="C15" s="46"/>
      <c r="D15" s="46"/>
      <c r="E15" s="46"/>
      <c r="F15" s="46"/>
      <c r="G15" s="46"/>
      <c r="H15" s="47" t="s">
        <v>91</v>
      </c>
      <c r="I15" s="46"/>
      <c r="J15" s="46"/>
      <c r="K15" s="46"/>
      <c r="L15" s="48"/>
      <c r="M15" s="12"/>
      <c r="N15" s="8"/>
      <c r="O15" s="8"/>
      <c r="P15" s="8"/>
      <c r="Q15" s="8"/>
      <c r="R15" s="8"/>
      <c r="S15" s="71" t="s">
        <v>91</v>
      </c>
      <c r="T15" s="8"/>
      <c r="U15" s="8"/>
      <c r="V15" s="8"/>
      <c r="W15" s="8"/>
      <c r="X15" s="49"/>
      <c r="Y15" s="49">
        <v>1</v>
      </c>
      <c r="Z15" s="50" t="s">
        <v>237</v>
      </c>
      <c r="AA15" s="1" t="s">
        <v>246</v>
      </c>
    </row>
    <row r="16" spans="1:27" ht="15" thickBot="1">
      <c r="A16" s="51"/>
      <c r="B16" s="72"/>
      <c r="C16" s="53"/>
      <c r="D16" s="53"/>
      <c r="E16" s="53"/>
      <c r="F16" s="53"/>
      <c r="G16" s="53"/>
      <c r="H16" s="53"/>
      <c r="I16" s="53"/>
      <c r="J16" s="54" t="s">
        <v>91</v>
      </c>
      <c r="K16" s="53"/>
      <c r="L16" s="55"/>
      <c r="M16" s="56"/>
      <c r="N16" s="57"/>
      <c r="O16" s="57"/>
      <c r="P16" s="57"/>
      <c r="Q16" s="57"/>
      <c r="R16" s="57"/>
      <c r="S16" s="57"/>
      <c r="T16" s="57"/>
      <c r="U16" s="57"/>
      <c r="V16" s="57"/>
      <c r="W16" s="53">
        <v>2021</v>
      </c>
      <c r="X16" s="58"/>
      <c r="Y16" s="58">
        <v>3</v>
      </c>
      <c r="Z16" s="59" t="s">
        <v>60</v>
      </c>
      <c r="AA16" s="10" t="s">
        <v>244</v>
      </c>
    </row>
    <row r="17" spans="1:27" ht="15" thickBot="1">
      <c r="A17" s="36" t="s">
        <v>40</v>
      </c>
      <c r="B17" s="37"/>
      <c r="C17" s="38"/>
      <c r="D17" s="62" t="s">
        <v>91</v>
      </c>
      <c r="E17" s="38"/>
      <c r="F17" s="38"/>
      <c r="G17" s="38"/>
      <c r="H17" s="38"/>
      <c r="I17" s="38"/>
      <c r="J17" s="38"/>
      <c r="K17" s="38"/>
      <c r="L17" s="40"/>
      <c r="M17" s="41" t="s">
        <v>91</v>
      </c>
      <c r="N17" s="42" t="s">
        <v>91</v>
      </c>
      <c r="O17" s="42" t="s">
        <v>91</v>
      </c>
      <c r="P17" s="42" t="s">
        <v>91</v>
      </c>
      <c r="Q17" s="42" t="s">
        <v>91</v>
      </c>
      <c r="R17" s="42" t="s">
        <v>91</v>
      </c>
      <c r="S17" s="42" t="s">
        <v>91</v>
      </c>
      <c r="T17" s="42" t="s">
        <v>91</v>
      </c>
      <c r="U17" s="42" t="s">
        <v>91</v>
      </c>
      <c r="V17" s="42" t="s">
        <v>91</v>
      </c>
      <c r="W17" s="42" t="s">
        <v>91</v>
      </c>
      <c r="X17" s="43" t="s">
        <v>91</v>
      </c>
      <c r="Y17" s="43" t="s">
        <v>68</v>
      </c>
      <c r="Z17" s="44"/>
      <c r="AA17" s="6" t="s">
        <v>55</v>
      </c>
    </row>
    <row r="18" spans="1:27">
      <c r="A18" s="7"/>
      <c r="B18" s="45"/>
      <c r="C18" s="46"/>
      <c r="D18" s="46"/>
      <c r="E18" s="46"/>
      <c r="F18" s="46"/>
      <c r="G18" s="39" t="s">
        <v>91</v>
      </c>
      <c r="H18" s="46"/>
      <c r="I18" s="46"/>
      <c r="J18" s="46"/>
      <c r="K18" s="46"/>
      <c r="L18" s="48"/>
      <c r="M18" s="12"/>
      <c r="N18" s="8"/>
      <c r="O18" s="8"/>
      <c r="P18" s="8" t="s">
        <v>91</v>
      </c>
      <c r="Q18" s="8"/>
      <c r="R18" s="8"/>
      <c r="S18" s="8"/>
      <c r="T18" s="8"/>
      <c r="U18" s="8"/>
      <c r="V18" s="8"/>
      <c r="W18" s="8"/>
      <c r="X18" s="49"/>
      <c r="Y18" s="49">
        <v>5</v>
      </c>
      <c r="Z18" s="50" t="s">
        <v>65</v>
      </c>
      <c r="AA18" s="1" t="s">
        <v>156</v>
      </c>
    </row>
    <row r="19" spans="1:27" ht="15" thickBot="1">
      <c r="A19" s="51"/>
      <c r="B19" s="52"/>
      <c r="C19" s="53"/>
      <c r="D19" s="53"/>
      <c r="E19" s="53"/>
      <c r="F19" s="53"/>
      <c r="G19" s="53"/>
      <c r="H19" s="53"/>
      <c r="I19" s="53"/>
      <c r="J19" s="53"/>
      <c r="K19" s="67" t="s">
        <v>91</v>
      </c>
      <c r="L19" s="55"/>
      <c r="M19" s="56"/>
      <c r="N19" s="57"/>
      <c r="O19" s="57"/>
      <c r="P19" s="57">
        <v>2021</v>
      </c>
      <c r="Q19" s="57"/>
      <c r="R19" s="57"/>
      <c r="S19" s="57"/>
      <c r="T19" s="57"/>
      <c r="U19" s="57"/>
      <c r="V19" s="57"/>
      <c r="W19" s="57"/>
      <c r="X19" s="58"/>
      <c r="Y19" s="58">
        <v>5</v>
      </c>
      <c r="Z19" s="59" t="s">
        <v>65</v>
      </c>
      <c r="AA19" s="1" t="s">
        <v>250</v>
      </c>
    </row>
    <row r="20" spans="1:27">
      <c r="A20" s="79" t="s">
        <v>42</v>
      </c>
      <c r="B20" s="60"/>
      <c r="C20" s="61"/>
      <c r="D20" s="62" t="s">
        <v>91</v>
      </c>
      <c r="E20" s="80"/>
      <c r="F20" s="61"/>
      <c r="G20" s="61"/>
      <c r="H20" s="61"/>
      <c r="I20" s="61"/>
      <c r="J20" s="61"/>
      <c r="K20" s="61"/>
      <c r="L20" s="63"/>
      <c r="M20" s="41" t="s">
        <v>91</v>
      </c>
      <c r="N20" s="42" t="s">
        <v>91</v>
      </c>
      <c r="O20" s="42" t="s">
        <v>91</v>
      </c>
      <c r="P20" s="42" t="s">
        <v>91</v>
      </c>
      <c r="Q20" s="42" t="s">
        <v>91</v>
      </c>
      <c r="R20" s="42"/>
      <c r="S20" s="42"/>
      <c r="T20" s="42"/>
      <c r="U20" s="42"/>
      <c r="V20" s="42"/>
      <c r="W20" s="42"/>
      <c r="X20" s="43"/>
      <c r="Y20" s="43" t="s">
        <v>68</v>
      </c>
      <c r="Z20" s="44"/>
      <c r="AA20" s="6" t="s">
        <v>251</v>
      </c>
    </row>
    <row r="21" spans="1:27">
      <c r="A21" s="13"/>
      <c r="B21" s="81"/>
      <c r="C21" s="82"/>
      <c r="D21" s="82"/>
      <c r="E21" s="82"/>
      <c r="F21" s="82"/>
      <c r="G21" s="83" t="s">
        <v>91</v>
      </c>
      <c r="H21" s="82"/>
      <c r="I21" s="82"/>
      <c r="J21" s="82"/>
      <c r="K21" s="82"/>
      <c r="L21" s="84"/>
      <c r="M21" s="12"/>
      <c r="N21" s="8"/>
      <c r="O21" s="8"/>
      <c r="P21" s="8" t="s">
        <v>91</v>
      </c>
      <c r="Q21" s="8"/>
      <c r="R21" s="8"/>
      <c r="S21" s="8"/>
      <c r="T21" s="8"/>
      <c r="U21" s="8"/>
      <c r="V21" s="8"/>
      <c r="W21" s="8"/>
      <c r="X21" s="49"/>
      <c r="Y21" s="49">
        <v>5</v>
      </c>
      <c r="Z21" s="50" t="s">
        <v>65</v>
      </c>
      <c r="AA21" s="14" t="s">
        <v>252</v>
      </c>
    </row>
    <row r="22" spans="1:27" ht="15" thickBot="1">
      <c r="A22" s="85"/>
      <c r="B22" s="65"/>
      <c r="C22" s="66"/>
      <c r="D22" s="66"/>
      <c r="E22" s="66"/>
      <c r="F22" s="66"/>
      <c r="G22" s="66"/>
      <c r="H22" s="66"/>
      <c r="I22" s="66"/>
      <c r="J22" s="66"/>
      <c r="K22" s="67" t="s">
        <v>91</v>
      </c>
      <c r="L22" s="86" t="s">
        <v>91</v>
      </c>
      <c r="M22" s="56"/>
      <c r="N22" s="57"/>
      <c r="O22" s="57"/>
      <c r="P22" s="57" t="s">
        <v>91</v>
      </c>
      <c r="Q22" s="57"/>
      <c r="R22" s="57"/>
      <c r="S22" s="57"/>
      <c r="T22" s="57"/>
      <c r="U22" s="57"/>
      <c r="V22" s="57"/>
      <c r="W22" s="57"/>
      <c r="X22" s="58"/>
      <c r="Y22" s="58">
        <v>5</v>
      </c>
      <c r="Z22" s="59" t="s">
        <v>65</v>
      </c>
      <c r="AA22" s="1" t="s">
        <v>253</v>
      </c>
    </row>
    <row r="23" spans="1:27" ht="15" thickBot="1">
      <c r="A23" s="87" t="s">
        <v>44</v>
      </c>
      <c r="B23" s="88"/>
      <c r="C23" s="89"/>
      <c r="D23" s="90" t="s">
        <v>91</v>
      </c>
      <c r="E23" s="91"/>
      <c r="F23" s="89"/>
      <c r="G23" s="89"/>
      <c r="H23" s="89"/>
      <c r="I23" s="89"/>
      <c r="J23" s="89"/>
      <c r="K23" s="89"/>
      <c r="L23" s="92"/>
      <c r="M23" s="28" t="s">
        <v>91</v>
      </c>
      <c r="N23" s="29" t="s">
        <v>91</v>
      </c>
      <c r="O23" s="29" t="s">
        <v>91</v>
      </c>
      <c r="P23" s="29" t="s">
        <v>91</v>
      </c>
      <c r="Q23" s="29" t="s">
        <v>91</v>
      </c>
      <c r="R23" s="29" t="s">
        <v>91</v>
      </c>
      <c r="S23" s="29" t="s">
        <v>91</v>
      </c>
      <c r="T23" s="29" t="s">
        <v>91</v>
      </c>
      <c r="U23" s="29" t="s">
        <v>91</v>
      </c>
      <c r="V23" s="29" t="s">
        <v>91</v>
      </c>
      <c r="W23" s="29" t="s">
        <v>91</v>
      </c>
      <c r="X23" s="30" t="s">
        <v>91</v>
      </c>
      <c r="Y23" s="30" t="s">
        <v>68</v>
      </c>
      <c r="Z23" s="31"/>
      <c r="AA23" s="15" t="s">
        <v>55</v>
      </c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Y24" s="17"/>
    </row>
    <row r="25" spans="1:27">
      <c r="A25" s="16" t="s">
        <v>102</v>
      </c>
      <c r="B25" s="1"/>
      <c r="C25" s="93" t="s">
        <v>91</v>
      </c>
      <c r="D25" s="1"/>
      <c r="E25" s="1"/>
      <c r="F25" s="1"/>
      <c r="G25" s="1"/>
      <c r="H25" s="1"/>
      <c r="I25" s="1"/>
      <c r="J25" s="1"/>
      <c r="K25" s="1"/>
      <c r="L25" s="1"/>
      <c r="Y25" s="17"/>
    </row>
    <row r="26" spans="1:27">
      <c r="A26" s="16" t="s">
        <v>103</v>
      </c>
      <c r="B26" s="1"/>
      <c r="C26" s="94" t="s">
        <v>91</v>
      </c>
      <c r="D26" s="1"/>
      <c r="E26" s="1"/>
      <c r="F26" s="1"/>
      <c r="G26" s="1"/>
      <c r="H26" s="1"/>
      <c r="I26" s="1"/>
      <c r="J26" s="1"/>
      <c r="K26" s="1"/>
      <c r="L26" s="1"/>
      <c r="Y26" s="17"/>
    </row>
    <row r="27" spans="1:27">
      <c r="A27" s="16" t="s">
        <v>104</v>
      </c>
      <c r="B27" s="1"/>
      <c r="C27" s="95" t="s">
        <v>91</v>
      </c>
      <c r="D27" s="1"/>
      <c r="E27" s="1"/>
      <c r="F27" s="1"/>
      <c r="G27" s="1"/>
      <c r="H27" s="1"/>
      <c r="I27" s="1"/>
      <c r="J27" s="1"/>
      <c r="K27" s="1"/>
      <c r="L27" s="1"/>
      <c r="Y27" s="17"/>
    </row>
    <row r="28" spans="1:27">
      <c r="A28" s="16" t="s">
        <v>105</v>
      </c>
      <c r="B28" s="1"/>
      <c r="C28" s="95" t="s">
        <v>91</v>
      </c>
      <c r="D28" s="1"/>
      <c r="E28" s="1"/>
      <c r="F28" s="1"/>
      <c r="G28" s="1"/>
      <c r="H28" s="1"/>
      <c r="I28" s="1"/>
      <c r="J28" s="1"/>
      <c r="K28" s="1"/>
      <c r="L28" s="1"/>
      <c r="Y28" s="17"/>
    </row>
    <row r="29" spans="1:27">
      <c r="A29" s="16" t="s">
        <v>177</v>
      </c>
      <c r="B29" s="1"/>
      <c r="C29" s="96" t="s">
        <v>91</v>
      </c>
      <c r="D29" s="1"/>
      <c r="E29" s="1"/>
      <c r="F29" s="1"/>
      <c r="G29" s="1"/>
      <c r="H29" s="1"/>
      <c r="I29" s="1"/>
      <c r="J29" s="1"/>
      <c r="K29" s="1"/>
      <c r="L29" s="1"/>
      <c r="Y29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1"/>
  <sheetViews>
    <sheetView workbookViewId="0">
      <selection activeCell="M3" sqref="M3"/>
    </sheetView>
  </sheetViews>
  <sheetFormatPr defaultRowHeight="15"/>
  <cols>
    <col min="1" max="1" width="26.28515625" customWidth="1"/>
    <col min="2" max="10" width="4" style="17" customWidth="1"/>
    <col min="11" max="12" width="7.7109375" style="17" customWidth="1"/>
    <col min="13" max="13" width="61.7109375" customWidth="1"/>
    <col min="15" max="15" width="88.42578125" bestFit="1" customWidth="1"/>
  </cols>
  <sheetData>
    <row r="1" spans="1:20" ht="18.75">
      <c r="A1" s="368" t="s">
        <v>254</v>
      </c>
      <c r="B1" s="391"/>
      <c r="C1" s="391"/>
      <c r="D1" s="391"/>
      <c r="E1" s="391"/>
      <c r="F1" s="391"/>
      <c r="G1" s="391"/>
      <c r="H1" s="391"/>
      <c r="I1" s="391"/>
      <c r="J1" s="392"/>
      <c r="K1" s="392"/>
      <c r="L1" s="392"/>
      <c r="M1" s="369"/>
      <c r="N1" s="369"/>
      <c r="O1" s="369"/>
      <c r="P1" s="369"/>
      <c r="Q1" s="369"/>
      <c r="R1" s="369"/>
      <c r="S1" s="369"/>
      <c r="T1" s="369"/>
    </row>
    <row r="2" spans="1:20" ht="57">
      <c r="A2" s="370" t="s">
        <v>255</v>
      </c>
      <c r="B2" s="393" t="s">
        <v>78</v>
      </c>
      <c r="C2" s="393" t="s">
        <v>79</v>
      </c>
      <c r="D2" s="393" t="s">
        <v>80</v>
      </c>
      <c r="E2" s="393" t="s">
        <v>81</v>
      </c>
      <c r="F2" s="393" t="s">
        <v>82</v>
      </c>
      <c r="G2" s="393" t="s">
        <v>83</v>
      </c>
      <c r="H2" s="393" t="s">
        <v>84</v>
      </c>
      <c r="I2" s="393" t="s">
        <v>85</v>
      </c>
      <c r="J2" s="393" t="s">
        <v>86</v>
      </c>
      <c r="K2" s="394" t="s">
        <v>114</v>
      </c>
      <c r="L2" s="395" t="s">
        <v>255</v>
      </c>
      <c r="M2" s="369"/>
      <c r="N2" s="369"/>
      <c r="O2" s="369"/>
      <c r="P2" s="369"/>
      <c r="Q2" s="369"/>
      <c r="R2" s="369"/>
      <c r="S2" s="369"/>
      <c r="T2" s="369"/>
    </row>
    <row r="3" spans="1:20">
      <c r="A3" s="371" t="s">
        <v>117</v>
      </c>
      <c r="B3" s="396" t="s">
        <v>255</v>
      </c>
      <c r="C3" s="397" t="s">
        <v>255</v>
      </c>
      <c r="D3" s="397" t="s">
        <v>255</v>
      </c>
      <c r="E3" s="398" t="s">
        <v>91</v>
      </c>
      <c r="F3" s="397" t="s">
        <v>255</v>
      </c>
      <c r="G3" s="397" t="s">
        <v>255</v>
      </c>
      <c r="H3" s="397" t="s">
        <v>255</v>
      </c>
      <c r="I3" s="397" t="s">
        <v>255</v>
      </c>
      <c r="J3" s="397" t="s">
        <v>255</v>
      </c>
      <c r="K3" s="399">
        <v>34</v>
      </c>
      <c r="L3" s="400" t="s">
        <v>118</v>
      </c>
      <c r="M3" s="459" t="s">
        <v>119</v>
      </c>
      <c r="N3" s="369" t="s">
        <v>255</v>
      </c>
      <c r="O3" s="369" t="s">
        <v>255</v>
      </c>
      <c r="P3" s="375" t="s">
        <v>255</v>
      </c>
      <c r="Q3" s="375" t="s">
        <v>255</v>
      </c>
      <c r="R3" s="375" t="s">
        <v>255</v>
      </c>
      <c r="S3" s="375" t="s">
        <v>255</v>
      </c>
      <c r="T3" s="369"/>
    </row>
    <row r="4" spans="1:20">
      <c r="A4" s="372" t="s">
        <v>90</v>
      </c>
      <c r="B4" s="401" t="s">
        <v>255</v>
      </c>
      <c r="C4" s="402" t="s">
        <v>255</v>
      </c>
      <c r="D4" s="402" t="s">
        <v>255</v>
      </c>
      <c r="E4" s="403" t="s">
        <v>91</v>
      </c>
      <c r="F4" s="402" t="s">
        <v>255</v>
      </c>
      <c r="G4" s="402" t="s">
        <v>255</v>
      </c>
      <c r="H4" s="402" t="s">
        <v>255</v>
      </c>
      <c r="I4" s="402" t="s">
        <v>255</v>
      </c>
      <c r="J4" s="402" t="s">
        <v>255</v>
      </c>
      <c r="K4" s="402">
        <v>35</v>
      </c>
      <c r="L4" s="404" t="s">
        <v>120</v>
      </c>
      <c r="M4" s="460" t="s">
        <v>236</v>
      </c>
      <c r="N4" s="369"/>
      <c r="O4" s="369"/>
      <c r="P4" s="369"/>
      <c r="Q4" s="369"/>
      <c r="R4" s="369"/>
      <c r="S4" s="369"/>
      <c r="T4" s="373"/>
    </row>
    <row r="5" spans="1:20">
      <c r="A5" s="372" t="s">
        <v>30</v>
      </c>
      <c r="B5" s="402" t="s">
        <v>255</v>
      </c>
      <c r="C5" s="402" t="s">
        <v>255</v>
      </c>
      <c r="D5" s="402" t="s">
        <v>255</v>
      </c>
      <c r="E5" s="402" t="s">
        <v>255</v>
      </c>
      <c r="F5" s="405" t="s">
        <v>91</v>
      </c>
      <c r="G5" s="402" t="s">
        <v>255</v>
      </c>
      <c r="H5" s="402" t="s">
        <v>255</v>
      </c>
      <c r="I5" s="402" t="s">
        <v>255</v>
      </c>
      <c r="J5" s="402" t="s">
        <v>255</v>
      </c>
      <c r="K5" s="402">
        <v>36</v>
      </c>
      <c r="L5" s="404" t="s">
        <v>256</v>
      </c>
      <c r="M5" s="461" t="s">
        <v>238</v>
      </c>
      <c r="N5" s="369"/>
      <c r="O5" s="369"/>
      <c r="P5" s="369"/>
      <c r="Q5" s="369"/>
      <c r="R5" s="369"/>
      <c r="S5" s="369"/>
      <c r="T5" s="373"/>
    </row>
    <row r="6" spans="1:20">
      <c r="A6" s="374" t="s">
        <v>92</v>
      </c>
      <c r="B6" s="406" t="s">
        <v>91</v>
      </c>
      <c r="C6" s="407" t="s">
        <v>255</v>
      </c>
      <c r="D6" s="407" t="s">
        <v>255</v>
      </c>
      <c r="E6" s="407" t="s">
        <v>255</v>
      </c>
      <c r="F6" s="407" t="s">
        <v>255</v>
      </c>
      <c r="G6" s="407" t="s">
        <v>255</v>
      </c>
      <c r="H6" s="407" t="s">
        <v>255</v>
      </c>
      <c r="I6" s="407" t="s">
        <v>255</v>
      </c>
      <c r="J6" s="407" t="s">
        <v>255</v>
      </c>
      <c r="K6" s="407">
        <v>38</v>
      </c>
      <c r="L6" s="408" t="s">
        <v>122</v>
      </c>
      <c r="M6" s="461" t="s">
        <v>241</v>
      </c>
      <c r="N6" s="369"/>
      <c r="O6" s="369"/>
      <c r="P6" s="369" t="s">
        <v>255</v>
      </c>
      <c r="Q6" s="369" t="s">
        <v>255</v>
      </c>
      <c r="R6" s="369" t="s">
        <v>255</v>
      </c>
      <c r="S6" s="369" t="s">
        <v>255</v>
      </c>
      <c r="T6" s="373"/>
    </row>
    <row r="7" spans="1:20">
      <c r="A7" s="374" t="s">
        <v>124</v>
      </c>
      <c r="B7" s="409" t="s">
        <v>255</v>
      </c>
      <c r="C7" s="410" t="s">
        <v>91</v>
      </c>
      <c r="D7" s="407" t="s">
        <v>255</v>
      </c>
      <c r="E7" s="407" t="s">
        <v>255</v>
      </c>
      <c r="F7" s="407" t="s">
        <v>255</v>
      </c>
      <c r="G7" s="407" t="s">
        <v>255</v>
      </c>
      <c r="H7" s="407" t="s">
        <v>255</v>
      </c>
      <c r="I7" s="407" t="s">
        <v>255</v>
      </c>
      <c r="J7" s="407" t="s">
        <v>255</v>
      </c>
      <c r="K7" s="407">
        <v>40</v>
      </c>
      <c r="L7" s="408" t="s">
        <v>125</v>
      </c>
      <c r="M7" s="462" t="s">
        <v>126</v>
      </c>
      <c r="N7" s="369"/>
      <c r="O7" s="369"/>
      <c r="P7" s="375" t="s">
        <v>255</v>
      </c>
      <c r="Q7" s="375" t="s">
        <v>255</v>
      </c>
      <c r="R7" s="375" t="s">
        <v>255</v>
      </c>
      <c r="S7" s="375" t="s">
        <v>255</v>
      </c>
      <c r="T7" s="369"/>
    </row>
    <row r="8" spans="1:20">
      <c r="A8" s="376" t="s">
        <v>255</v>
      </c>
      <c r="B8" s="407" t="s">
        <v>255</v>
      </c>
      <c r="C8" s="407" t="s">
        <v>255</v>
      </c>
      <c r="D8" s="407" t="s">
        <v>255</v>
      </c>
      <c r="E8" s="411" t="s">
        <v>91</v>
      </c>
      <c r="F8" s="407" t="s">
        <v>255</v>
      </c>
      <c r="G8" s="407" t="s">
        <v>255</v>
      </c>
      <c r="H8" s="407" t="s">
        <v>255</v>
      </c>
      <c r="I8" s="407" t="s">
        <v>255</v>
      </c>
      <c r="J8" s="407" t="s">
        <v>255</v>
      </c>
      <c r="K8" s="407">
        <v>39</v>
      </c>
      <c r="L8" s="408" t="s">
        <v>127</v>
      </c>
      <c r="M8" s="462" t="s">
        <v>243</v>
      </c>
      <c r="N8" s="369"/>
      <c r="O8" s="369"/>
      <c r="P8" s="369"/>
      <c r="Q8" s="369"/>
      <c r="R8" s="369"/>
      <c r="S8" s="369"/>
      <c r="T8" s="373"/>
    </row>
    <row r="9" spans="1:20">
      <c r="A9" s="377" t="s">
        <v>255</v>
      </c>
      <c r="B9" s="402" t="s">
        <v>255</v>
      </c>
      <c r="C9" s="402" t="s">
        <v>255</v>
      </c>
      <c r="D9" s="402" t="s">
        <v>255</v>
      </c>
      <c r="E9" s="412" t="s">
        <v>91</v>
      </c>
      <c r="F9" s="402" t="s">
        <v>255</v>
      </c>
      <c r="G9" s="402" t="s">
        <v>255</v>
      </c>
      <c r="H9" s="402" t="s">
        <v>255</v>
      </c>
      <c r="I9" s="402" t="s">
        <v>255</v>
      </c>
      <c r="J9" s="402" t="s">
        <v>255</v>
      </c>
      <c r="K9" s="402">
        <v>39</v>
      </c>
      <c r="L9" s="404" t="s">
        <v>129</v>
      </c>
      <c r="M9" s="463" t="s">
        <v>244</v>
      </c>
      <c r="N9" s="369"/>
      <c r="O9" s="369"/>
      <c r="P9" s="369"/>
      <c r="Q9" s="369"/>
      <c r="R9" s="369"/>
      <c r="S9" s="369" t="s">
        <v>255</v>
      </c>
      <c r="T9" s="373"/>
    </row>
    <row r="10" spans="1:20">
      <c r="A10" s="374" t="s">
        <v>95</v>
      </c>
      <c r="B10" s="413" t="s">
        <v>255</v>
      </c>
      <c r="C10" s="414" t="s">
        <v>91</v>
      </c>
      <c r="D10" s="407" t="s">
        <v>255</v>
      </c>
      <c r="E10" s="407" t="s">
        <v>255</v>
      </c>
      <c r="F10" s="407" t="s">
        <v>255</v>
      </c>
      <c r="G10" s="407" t="s">
        <v>255</v>
      </c>
      <c r="H10" s="407" t="s">
        <v>255</v>
      </c>
      <c r="I10" s="407" t="s">
        <v>255</v>
      </c>
      <c r="J10" s="407" t="s">
        <v>255</v>
      </c>
      <c r="K10" s="407">
        <v>44</v>
      </c>
      <c r="L10" s="408" t="s">
        <v>139</v>
      </c>
      <c r="M10" s="462" t="s">
        <v>245</v>
      </c>
      <c r="N10" s="369"/>
      <c r="O10" s="369"/>
      <c r="P10" s="369"/>
      <c r="Q10" s="369"/>
      <c r="R10" s="369"/>
      <c r="S10" s="369" t="s">
        <v>255</v>
      </c>
      <c r="T10" s="373"/>
    </row>
    <row r="11" spans="1:20">
      <c r="A11" s="372" t="s">
        <v>96</v>
      </c>
      <c r="B11" s="401" t="s">
        <v>255</v>
      </c>
      <c r="C11" s="402" t="s">
        <v>255</v>
      </c>
      <c r="D11" s="402" t="s">
        <v>255</v>
      </c>
      <c r="E11" s="402" t="s">
        <v>255</v>
      </c>
      <c r="F11" s="405" t="s">
        <v>91</v>
      </c>
      <c r="G11" s="402" t="s">
        <v>255</v>
      </c>
      <c r="H11" s="402" t="s">
        <v>255</v>
      </c>
      <c r="I11" s="402" t="s">
        <v>255</v>
      </c>
      <c r="J11" s="402" t="s">
        <v>255</v>
      </c>
      <c r="K11" s="402">
        <v>44</v>
      </c>
      <c r="L11" s="404" t="s">
        <v>140</v>
      </c>
      <c r="M11" s="463" t="s">
        <v>246</v>
      </c>
      <c r="N11" s="369"/>
      <c r="O11" s="369"/>
      <c r="P11" s="369"/>
      <c r="Q11" s="369"/>
      <c r="R11" s="369"/>
      <c r="S11" s="369"/>
      <c r="T11" s="373"/>
    </row>
    <row r="12" spans="1:20">
      <c r="A12" s="374" t="s">
        <v>97</v>
      </c>
      <c r="B12" s="413" t="s">
        <v>255</v>
      </c>
      <c r="C12" s="406" t="s">
        <v>91</v>
      </c>
      <c r="D12" s="407" t="s">
        <v>255</v>
      </c>
      <c r="E12" s="407" t="s">
        <v>255</v>
      </c>
      <c r="F12" s="407" t="s">
        <v>255</v>
      </c>
      <c r="G12" s="407" t="s">
        <v>255</v>
      </c>
      <c r="H12" s="407" t="s">
        <v>255</v>
      </c>
      <c r="I12" s="407" t="s">
        <v>255</v>
      </c>
      <c r="J12" s="407" t="s">
        <v>255</v>
      </c>
      <c r="K12" s="407">
        <v>40</v>
      </c>
      <c r="L12" s="408" t="s">
        <v>125</v>
      </c>
      <c r="M12" s="461" t="s">
        <v>126</v>
      </c>
      <c r="N12" s="369"/>
      <c r="O12" s="369"/>
      <c r="P12" s="369"/>
      <c r="Q12" s="369"/>
      <c r="R12" s="369"/>
      <c r="S12" s="369"/>
      <c r="T12" s="373"/>
    </row>
    <row r="13" spans="1:20">
      <c r="A13" s="374" t="s">
        <v>98</v>
      </c>
      <c r="B13" s="413" t="s">
        <v>255</v>
      </c>
      <c r="C13" s="407" t="s">
        <v>255</v>
      </c>
      <c r="D13" s="407" t="s">
        <v>255</v>
      </c>
      <c r="E13" s="407" t="s">
        <v>255</v>
      </c>
      <c r="F13" s="411" t="s">
        <v>91</v>
      </c>
      <c r="G13" s="407" t="s">
        <v>255</v>
      </c>
      <c r="H13" s="407" t="s">
        <v>255</v>
      </c>
      <c r="I13" s="407" t="s">
        <v>255</v>
      </c>
      <c r="J13" s="407" t="s">
        <v>255</v>
      </c>
      <c r="K13" s="407">
        <v>41</v>
      </c>
      <c r="L13" s="408" t="s">
        <v>143</v>
      </c>
      <c r="M13" s="462" t="s">
        <v>246</v>
      </c>
      <c r="N13" s="369"/>
      <c r="O13" s="369"/>
      <c r="P13" s="369"/>
      <c r="Q13" s="369"/>
      <c r="R13" s="369"/>
      <c r="S13" s="369"/>
      <c r="T13" s="373"/>
    </row>
    <row r="14" spans="1:20">
      <c r="A14" s="377" t="s">
        <v>255</v>
      </c>
      <c r="B14" s="401" t="s">
        <v>255</v>
      </c>
      <c r="C14" s="402" t="s">
        <v>255</v>
      </c>
      <c r="D14" s="402" t="s">
        <v>255</v>
      </c>
      <c r="E14" s="402" t="s">
        <v>255</v>
      </c>
      <c r="F14" s="402" t="s">
        <v>255</v>
      </c>
      <c r="G14" s="402" t="s">
        <v>255</v>
      </c>
      <c r="H14" s="412" t="s">
        <v>91</v>
      </c>
      <c r="I14" s="402" t="s">
        <v>255</v>
      </c>
      <c r="J14" s="402" t="s">
        <v>255</v>
      </c>
      <c r="K14" s="402">
        <v>41</v>
      </c>
      <c r="L14" s="404" t="s">
        <v>144</v>
      </c>
      <c r="M14" s="463" t="s">
        <v>244</v>
      </c>
      <c r="N14" s="369"/>
      <c r="O14" s="369"/>
      <c r="P14" s="369"/>
      <c r="Q14" s="369"/>
      <c r="R14" s="369"/>
      <c r="S14" s="369" t="s">
        <v>255</v>
      </c>
      <c r="T14" s="373"/>
    </row>
    <row r="15" spans="1:20">
      <c r="A15" s="374" t="s">
        <v>99</v>
      </c>
      <c r="B15" s="415" t="s">
        <v>91</v>
      </c>
      <c r="C15" s="416" t="s">
        <v>255</v>
      </c>
      <c r="D15" s="416" t="s">
        <v>255</v>
      </c>
      <c r="E15" s="416" t="s">
        <v>255</v>
      </c>
      <c r="F15" s="407" t="s">
        <v>255</v>
      </c>
      <c r="G15" s="407" t="s">
        <v>255</v>
      </c>
      <c r="H15" s="407" t="s">
        <v>255</v>
      </c>
      <c r="I15" s="407" t="s">
        <v>255</v>
      </c>
      <c r="J15" s="407" t="s">
        <v>255</v>
      </c>
      <c r="K15" s="407">
        <v>42</v>
      </c>
      <c r="L15" s="408" t="s">
        <v>145</v>
      </c>
      <c r="M15" s="461" t="s">
        <v>248</v>
      </c>
      <c r="N15" s="369"/>
      <c r="O15" s="369" t="s">
        <v>255</v>
      </c>
      <c r="P15" s="369" t="s">
        <v>255</v>
      </c>
      <c r="Q15" s="369" t="s">
        <v>255</v>
      </c>
      <c r="R15" s="369" t="s">
        <v>255</v>
      </c>
      <c r="S15" s="369" t="s">
        <v>255</v>
      </c>
      <c r="T15" s="373"/>
    </row>
    <row r="16" spans="1:20">
      <c r="A16" s="374" t="s">
        <v>100</v>
      </c>
      <c r="B16" s="413" t="s">
        <v>255</v>
      </c>
      <c r="C16" s="417" t="s">
        <v>255</v>
      </c>
      <c r="D16" s="418" t="s">
        <v>91</v>
      </c>
      <c r="E16" s="417" t="s">
        <v>255</v>
      </c>
      <c r="F16" s="407" t="s">
        <v>255</v>
      </c>
      <c r="G16" s="407" t="s">
        <v>255</v>
      </c>
      <c r="H16" s="407" t="s">
        <v>255</v>
      </c>
      <c r="I16" s="407" t="s">
        <v>255</v>
      </c>
      <c r="J16" s="407" t="s">
        <v>255</v>
      </c>
      <c r="K16" s="407">
        <v>42</v>
      </c>
      <c r="L16" s="408" t="s">
        <v>147</v>
      </c>
      <c r="M16" s="462" t="s">
        <v>249</v>
      </c>
      <c r="N16" s="369"/>
      <c r="O16" s="369"/>
      <c r="P16" s="369"/>
      <c r="Q16" s="369"/>
      <c r="R16" s="369"/>
      <c r="S16" s="369" t="s">
        <v>255</v>
      </c>
      <c r="T16" s="373"/>
    </row>
    <row r="17" spans="1:20">
      <c r="A17" s="374" t="s">
        <v>255</v>
      </c>
      <c r="B17" s="413" t="s">
        <v>255</v>
      </c>
      <c r="C17" s="407" t="s">
        <v>255</v>
      </c>
      <c r="D17" s="407" t="s">
        <v>255</v>
      </c>
      <c r="E17" s="407" t="s">
        <v>255</v>
      </c>
      <c r="F17" s="411" t="s">
        <v>91</v>
      </c>
      <c r="G17" s="407" t="s">
        <v>255</v>
      </c>
      <c r="H17" s="407" t="s">
        <v>255</v>
      </c>
      <c r="I17" s="407" t="s">
        <v>255</v>
      </c>
      <c r="J17" s="407" t="s">
        <v>255</v>
      </c>
      <c r="K17" s="407">
        <v>42</v>
      </c>
      <c r="L17" s="408" t="s">
        <v>149</v>
      </c>
      <c r="M17" s="462" t="s">
        <v>246</v>
      </c>
      <c r="N17" s="369"/>
      <c r="O17" s="369"/>
      <c r="P17" s="369"/>
      <c r="Q17" s="369"/>
      <c r="R17" s="369"/>
      <c r="S17" s="369"/>
      <c r="T17" s="373"/>
    </row>
    <row r="18" spans="1:20">
      <c r="A18" s="377" t="s">
        <v>255</v>
      </c>
      <c r="B18" s="401" t="s">
        <v>255</v>
      </c>
      <c r="C18" s="402" t="s">
        <v>255</v>
      </c>
      <c r="D18" s="402" t="s">
        <v>255</v>
      </c>
      <c r="E18" s="402" t="s">
        <v>255</v>
      </c>
      <c r="F18" s="402" t="s">
        <v>255</v>
      </c>
      <c r="G18" s="402" t="s">
        <v>255</v>
      </c>
      <c r="H18" s="412" t="s">
        <v>91</v>
      </c>
      <c r="I18" s="402" t="s">
        <v>255</v>
      </c>
      <c r="J18" s="402" t="s">
        <v>255</v>
      </c>
      <c r="K18" s="402">
        <v>42</v>
      </c>
      <c r="L18" s="404" t="s">
        <v>151</v>
      </c>
      <c r="M18" s="463" t="s">
        <v>244</v>
      </c>
      <c r="N18" s="369"/>
      <c r="O18" s="369"/>
      <c r="P18" s="369"/>
      <c r="Q18" s="369"/>
      <c r="R18" s="369"/>
      <c r="S18" s="369" t="s">
        <v>255</v>
      </c>
      <c r="T18" s="373"/>
    </row>
    <row r="19" spans="1:20">
      <c r="A19" s="374" t="s">
        <v>40</v>
      </c>
      <c r="B19" s="392"/>
      <c r="C19" s="419" t="s">
        <v>91</v>
      </c>
      <c r="D19" s="407" t="s">
        <v>255</v>
      </c>
      <c r="E19" s="407" t="s">
        <v>255</v>
      </c>
      <c r="F19" s="407" t="s">
        <v>255</v>
      </c>
      <c r="G19" s="407" t="s">
        <v>255</v>
      </c>
      <c r="H19" s="407" t="s">
        <v>255</v>
      </c>
      <c r="I19" s="407" t="s">
        <v>255</v>
      </c>
      <c r="J19" s="407" t="s">
        <v>255</v>
      </c>
      <c r="K19" s="407">
        <v>42</v>
      </c>
      <c r="L19" s="408" t="s">
        <v>152</v>
      </c>
      <c r="M19" s="461" t="s">
        <v>55</v>
      </c>
      <c r="N19" s="369"/>
      <c r="O19" s="369" t="s">
        <v>255</v>
      </c>
      <c r="P19" s="369" t="s">
        <v>255</v>
      </c>
      <c r="Q19" s="369" t="s">
        <v>255</v>
      </c>
      <c r="R19" s="369" t="s">
        <v>255</v>
      </c>
      <c r="S19" s="369" t="s">
        <v>255</v>
      </c>
      <c r="T19" s="373"/>
    </row>
    <row r="20" spans="1:20">
      <c r="A20" s="376" t="s">
        <v>255</v>
      </c>
      <c r="B20" s="420" t="s">
        <v>255</v>
      </c>
      <c r="C20" s="407" t="s">
        <v>255</v>
      </c>
      <c r="D20" s="407" t="s">
        <v>255</v>
      </c>
      <c r="E20" s="421" t="s">
        <v>91</v>
      </c>
      <c r="F20" s="407" t="s">
        <v>255</v>
      </c>
      <c r="G20" s="407" t="s">
        <v>255</v>
      </c>
      <c r="H20" s="407" t="s">
        <v>255</v>
      </c>
      <c r="I20" s="407" t="s">
        <v>255</v>
      </c>
      <c r="J20" s="407" t="s">
        <v>255</v>
      </c>
      <c r="K20" s="407">
        <v>43</v>
      </c>
      <c r="L20" s="408" t="s">
        <v>155</v>
      </c>
      <c r="M20" s="462" t="s">
        <v>156</v>
      </c>
      <c r="N20" s="369"/>
      <c r="O20" s="369"/>
      <c r="P20" s="369"/>
      <c r="Q20" s="369"/>
      <c r="R20" s="369"/>
      <c r="S20" s="369" t="s">
        <v>255</v>
      </c>
      <c r="T20" s="373"/>
    </row>
    <row r="21" spans="1:20">
      <c r="A21" s="376" t="s">
        <v>255</v>
      </c>
      <c r="B21" s="401" t="s">
        <v>255</v>
      </c>
      <c r="C21" s="402" t="s">
        <v>255</v>
      </c>
      <c r="D21" s="402" t="s">
        <v>255</v>
      </c>
      <c r="E21" s="402" t="s">
        <v>255</v>
      </c>
      <c r="F21" s="402" t="s">
        <v>255</v>
      </c>
      <c r="G21" s="402" t="s">
        <v>255</v>
      </c>
      <c r="H21" s="402" t="s">
        <v>255</v>
      </c>
      <c r="I21" s="405" t="s">
        <v>91</v>
      </c>
      <c r="J21" s="402" t="s">
        <v>255</v>
      </c>
      <c r="K21" s="402">
        <v>43</v>
      </c>
      <c r="L21" s="404" t="s">
        <v>157</v>
      </c>
      <c r="M21" s="462" t="s">
        <v>250</v>
      </c>
      <c r="N21" s="369"/>
      <c r="O21" s="369"/>
      <c r="P21" s="369"/>
      <c r="Q21" s="369"/>
      <c r="R21" s="369"/>
      <c r="S21" s="369"/>
      <c r="T21" s="373"/>
    </row>
    <row r="22" spans="1:20">
      <c r="A22" s="378" t="s">
        <v>42</v>
      </c>
      <c r="B22" s="392"/>
      <c r="C22" s="419" t="s">
        <v>91</v>
      </c>
      <c r="D22" s="407" t="s">
        <v>255</v>
      </c>
      <c r="E22" s="407" t="s">
        <v>255</v>
      </c>
      <c r="F22" s="407" t="s">
        <v>255</v>
      </c>
      <c r="G22" s="407" t="s">
        <v>255</v>
      </c>
      <c r="H22" s="407" t="s">
        <v>255</v>
      </c>
      <c r="I22" s="407" t="s">
        <v>255</v>
      </c>
      <c r="J22" s="407" t="s">
        <v>255</v>
      </c>
      <c r="K22" s="407">
        <v>48</v>
      </c>
      <c r="L22" s="408" t="s">
        <v>167</v>
      </c>
      <c r="M22" s="461" t="s">
        <v>251</v>
      </c>
      <c r="N22" s="369"/>
      <c r="O22" s="369"/>
      <c r="P22" s="369"/>
      <c r="Q22" s="369"/>
      <c r="R22" s="369" t="s">
        <v>255</v>
      </c>
      <c r="S22" s="369" t="s">
        <v>255</v>
      </c>
      <c r="T22" s="373"/>
    </row>
    <row r="23" spans="1:20">
      <c r="A23" s="376" t="s">
        <v>255</v>
      </c>
      <c r="B23" s="417" t="s">
        <v>255</v>
      </c>
      <c r="C23" s="407" t="s">
        <v>255</v>
      </c>
      <c r="D23" s="407" t="s">
        <v>255</v>
      </c>
      <c r="E23" s="422" t="s">
        <v>91</v>
      </c>
      <c r="F23" s="407" t="s">
        <v>255</v>
      </c>
      <c r="G23" s="407" t="s">
        <v>255</v>
      </c>
      <c r="H23" s="407" t="s">
        <v>255</v>
      </c>
      <c r="I23" s="407" t="s">
        <v>255</v>
      </c>
      <c r="J23" s="407" t="s">
        <v>255</v>
      </c>
      <c r="K23" s="407">
        <v>49</v>
      </c>
      <c r="L23" s="408" t="s">
        <v>169</v>
      </c>
      <c r="M23" s="462" t="s">
        <v>252</v>
      </c>
      <c r="N23" s="369"/>
      <c r="O23" s="369"/>
      <c r="P23" s="369"/>
      <c r="Q23" s="369"/>
      <c r="R23" s="369"/>
      <c r="S23" s="369" t="s">
        <v>255</v>
      </c>
      <c r="T23" s="373"/>
    </row>
    <row r="24" spans="1:20">
      <c r="A24" s="377" t="s">
        <v>255</v>
      </c>
      <c r="B24" s="416" t="s">
        <v>255</v>
      </c>
      <c r="C24" s="416" t="s">
        <v>255</v>
      </c>
      <c r="D24" s="416" t="s">
        <v>255</v>
      </c>
      <c r="E24" s="423" t="s">
        <v>255</v>
      </c>
      <c r="F24" s="416" t="s">
        <v>255</v>
      </c>
      <c r="G24" s="416" t="s">
        <v>255</v>
      </c>
      <c r="H24" s="416" t="s">
        <v>255</v>
      </c>
      <c r="I24" s="422" t="s">
        <v>91</v>
      </c>
      <c r="J24" s="422" t="s">
        <v>91</v>
      </c>
      <c r="K24" s="416">
        <v>49</v>
      </c>
      <c r="L24" s="392" t="s">
        <v>257</v>
      </c>
      <c r="M24" s="463" t="s">
        <v>253</v>
      </c>
      <c r="N24" s="369"/>
      <c r="O24" s="369"/>
      <c r="P24" s="369"/>
      <c r="Q24" s="369"/>
      <c r="R24" s="369"/>
      <c r="S24" s="369"/>
      <c r="T24" s="373"/>
    </row>
    <row r="25" spans="1:20">
      <c r="A25" s="372" t="s">
        <v>44</v>
      </c>
      <c r="B25" s="424" t="s">
        <v>255</v>
      </c>
      <c r="C25" s="425" t="s">
        <v>91</v>
      </c>
      <c r="D25" s="426" t="s">
        <v>255</v>
      </c>
      <c r="E25" s="426" t="s">
        <v>255</v>
      </c>
      <c r="F25" s="426" t="s">
        <v>255</v>
      </c>
      <c r="G25" s="426" t="s">
        <v>255</v>
      </c>
      <c r="H25" s="426" t="s">
        <v>255</v>
      </c>
      <c r="I25" s="426" t="s">
        <v>255</v>
      </c>
      <c r="J25" s="426" t="s">
        <v>255</v>
      </c>
      <c r="K25" s="426">
        <v>49</v>
      </c>
      <c r="L25" s="424" t="s">
        <v>258</v>
      </c>
      <c r="M25" s="461" t="s">
        <v>251</v>
      </c>
      <c r="N25" s="369"/>
      <c r="O25" s="369"/>
      <c r="P25" s="369"/>
      <c r="Q25" s="369"/>
      <c r="R25" s="369" t="s">
        <v>255</v>
      </c>
      <c r="S25" s="369" t="s">
        <v>255</v>
      </c>
      <c r="T25" s="373"/>
    </row>
    <row r="26" spans="1:20">
      <c r="A26" s="379" t="s">
        <v>259</v>
      </c>
      <c r="B26" s="427" t="s">
        <v>255</v>
      </c>
      <c r="C26" s="427" t="s">
        <v>255</v>
      </c>
      <c r="D26" s="428" t="s">
        <v>91</v>
      </c>
      <c r="E26" s="429" t="s">
        <v>255</v>
      </c>
      <c r="F26" s="429" t="s">
        <v>255</v>
      </c>
      <c r="G26" s="429" t="s">
        <v>255</v>
      </c>
      <c r="H26" s="430" t="s">
        <v>255</v>
      </c>
      <c r="I26" s="427" t="s">
        <v>255</v>
      </c>
      <c r="J26" s="427" t="s">
        <v>255</v>
      </c>
      <c r="K26" s="431">
        <v>47</v>
      </c>
      <c r="L26" s="432" t="s">
        <v>260</v>
      </c>
      <c r="M26" s="461" t="s">
        <v>261</v>
      </c>
      <c r="N26" s="369"/>
      <c r="O26" s="369"/>
      <c r="P26" s="369"/>
      <c r="Q26" s="369"/>
      <c r="R26" s="369" t="s">
        <v>255</v>
      </c>
      <c r="S26" s="369" t="s">
        <v>255</v>
      </c>
      <c r="T26" s="373"/>
    </row>
    <row r="27" spans="1:20">
      <c r="A27" s="380" t="s">
        <v>255</v>
      </c>
      <c r="B27" s="433" t="s">
        <v>255</v>
      </c>
      <c r="C27" s="433" t="s">
        <v>255</v>
      </c>
      <c r="D27" s="434" t="s">
        <v>255</v>
      </c>
      <c r="E27" s="435" t="s">
        <v>91</v>
      </c>
      <c r="F27" s="436" t="s">
        <v>255</v>
      </c>
      <c r="G27" s="436" t="s">
        <v>255</v>
      </c>
      <c r="H27" s="437" t="s">
        <v>255</v>
      </c>
      <c r="I27" s="433" t="s">
        <v>255</v>
      </c>
      <c r="J27" s="433" t="s">
        <v>255</v>
      </c>
      <c r="K27" s="407">
        <v>47</v>
      </c>
      <c r="L27" s="408" t="s">
        <v>262</v>
      </c>
      <c r="M27" s="462" t="s">
        <v>156</v>
      </c>
      <c r="N27" s="369"/>
      <c r="O27" s="369"/>
      <c r="P27" s="369"/>
      <c r="Q27" s="369"/>
      <c r="R27" s="369"/>
      <c r="S27" s="369" t="s">
        <v>255</v>
      </c>
      <c r="T27" s="373"/>
    </row>
    <row r="28" spans="1:20">
      <c r="A28" s="381" t="s">
        <v>255</v>
      </c>
      <c r="B28" s="438" t="s">
        <v>255</v>
      </c>
      <c r="C28" s="438" t="s">
        <v>255</v>
      </c>
      <c r="D28" s="439" t="s">
        <v>255</v>
      </c>
      <c r="E28" s="440" t="s">
        <v>255</v>
      </c>
      <c r="F28" s="440" t="s">
        <v>255</v>
      </c>
      <c r="G28" s="440" t="s">
        <v>255</v>
      </c>
      <c r="H28" s="441" t="s">
        <v>255</v>
      </c>
      <c r="I28" s="438" t="s">
        <v>255</v>
      </c>
      <c r="J28" s="442" t="s">
        <v>91</v>
      </c>
      <c r="K28" s="402">
        <v>48</v>
      </c>
      <c r="L28" s="404" t="s">
        <v>263</v>
      </c>
      <c r="M28" s="463" t="s">
        <v>264</v>
      </c>
      <c r="N28" s="369"/>
      <c r="O28" s="369"/>
      <c r="P28" s="369"/>
      <c r="Q28" s="369"/>
      <c r="R28" s="369"/>
      <c r="S28" s="369"/>
      <c r="T28" s="373"/>
    </row>
    <row r="29" spans="1:20">
      <c r="A29" s="382" t="s">
        <v>265</v>
      </c>
      <c r="B29" s="407" t="s">
        <v>255</v>
      </c>
      <c r="C29" s="392"/>
      <c r="D29" s="419" t="s">
        <v>91</v>
      </c>
      <c r="E29" s="407" t="s">
        <v>255</v>
      </c>
      <c r="F29" s="407" t="s">
        <v>255</v>
      </c>
      <c r="G29" s="407" t="s">
        <v>255</v>
      </c>
      <c r="H29" s="407" t="s">
        <v>255</v>
      </c>
      <c r="I29" s="407" t="s">
        <v>255</v>
      </c>
      <c r="J29" s="407" t="s">
        <v>255</v>
      </c>
      <c r="K29" s="407">
        <v>46</v>
      </c>
      <c r="L29" s="408" t="s">
        <v>266</v>
      </c>
      <c r="M29" s="462" t="s">
        <v>267</v>
      </c>
      <c r="N29" s="369"/>
      <c r="O29" s="369"/>
      <c r="P29" s="369"/>
      <c r="Q29" s="369"/>
      <c r="R29" s="369"/>
      <c r="S29" s="369" t="s">
        <v>255</v>
      </c>
      <c r="T29" s="373"/>
    </row>
    <row r="30" spans="1:20">
      <c r="A30" s="374" t="s">
        <v>255</v>
      </c>
      <c r="B30" s="402" t="s">
        <v>255</v>
      </c>
      <c r="C30" s="443" t="s">
        <v>255</v>
      </c>
      <c r="D30" s="402" t="s">
        <v>255</v>
      </c>
      <c r="E30" s="405" t="s">
        <v>91</v>
      </c>
      <c r="F30" s="402" t="s">
        <v>255</v>
      </c>
      <c r="G30" s="402" t="s">
        <v>255</v>
      </c>
      <c r="H30" s="402" t="s">
        <v>255</v>
      </c>
      <c r="I30" s="402" t="s">
        <v>255</v>
      </c>
      <c r="J30" s="402" t="s">
        <v>255</v>
      </c>
      <c r="K30" s="402">
        <v>46</v>
      </c>
      <c r="L30" s="404" t="s">
        <v>266</v>
      </c>
      <c r="M30" s="462" t="s">
        <v>267</v>
      </c>
      <c r="N30" s="369"/>
      <c r="O30" s="369"/>
      <c r="P30" s="369"/>
      <c r="Q30" s="369"/>
      <c r="R30" s="369"/>
      <c r="S30" s="369" t="s">
        <v>255</v>
      </c>
      <c r="T30" s="373"/>
    </row>
    <row r="31" spans="1:20">
      <c r="A31" s="378" t="s">
        <v>159</v>
      </c>
      <c r="B31" s="406" t="s">
        <v>91</v>
      </c>
      <c r="C31" s="407" t="s">
        <v>255</v>
      </c>
      <c r="D31" s="407" t="s">
        <v>255</v>
      </c>
      <c r="E31" s="407" t="s">
        <v>255</v>
      </c>
      <c r="F31" s="407" t="s">
        <v>255</v>
      </c>
      <c r="G31" s="407" t="s">
        <v>255</v>
      </c>
      <c r="H31" s="407" t="s">
        <v>255</v>
      </c>
      <c r="I31" s="409" t="s">
        <v>255</v>
      </c>
      <c r="J31" s="407" t="s">
        <v>255</v>
      </c>
      <c r="K31" s="407">
        <v>41</v>
      </c>
      <c r="L31" s="408" t="s">
        <v>160</v>
      </c>
      <c r="M31" s="461" t="s">
        <v>161</v>
      </c>
      <c r="N31" s="369"/>
      <c r="O31" s="369"/>
      <c r="P31" s="375" t="s">
        <v>255</v>
      </c>
      <c r="Q31" s="375" t="s">
        <v>255</v>
      </c>
      <c r="R31" s="375" t="s">
        <v>255</v>
      </c>
      <c r="S31" s="375" t="s">
        <v>255</v>
      </c>
      <c r="T31" s="369"/>
    </row>
    <row r="32" spans="1:20">
      <c r="A32" s="374" t="s">
        <v>162</v>
      </c>
      <c r="B32" s="407" t="s">
        <v>255</v>
      </c>
      <c r="C32" s="407" t="s">
        <v>255</v>
      </c>
      <c r="D32" s="407" t="s">
        <v>255</v>
      </c>
      <c r="E32" s="411" t="s">
        <v>91</v>
      </c>
      <c r="F32" s="407" t="s">
        <v>255</v>
      </c>
      <c r="G32" s="407" t="s">
        <v>255</v>
      </c>
      <c r="H32" s="407" t="s">
        <v>255</v>
      </c>
      <c r="I32" s="409" t="s">
        <v>255</v>
      </c>
      <c r="J32" s="407" t="s">
        <v>255</v>
      </c>
      <c r="K32" s="407">
        <v>41</v>
      </c>
      <c r="L32" s="408" t="s">
        <v>163</v>
      </c>
      <c r="M32" s="462" t="s">
        <v>164</v>
      </c>
      <c r="N32" s="369"/>
      <c r="O32" s="369"/>
      <c r="P32" s="375" t="s">
        <v>255</v>
      </c>
      <c r="Q32" s="375" t="s">
        <v>255</v>
      </c>
      <c r="R32" s="375" t="s">
        <v>255</v>
      </c>
      <c r="S32" s="375" t="s">
        <v>255</v>
      </c>
      <c r="T32" s="369"/>
    </row>
    <row r="33" spans="1:20">
      <c r="A33" s="376" t="s">
        <v>255</v>
      </c>
      <c r="B33" s="402" t="s">
        <v>255</v>
      </c>
      <c r="C33" s="402" t="s">
        <v>255</v>
      </c>
      <c r="D33" s="402" t="s">
        <v>255</v>
      </c>
      <c r="E33" s="412" t="s">
        <v>91</v>
      </c>
      <c r="F33" s="402" t="s">
        <v>255</v>
      </c>
      <c r="G33" s="402" t="s">
        <v>255</v>
      </c>
      <c r="H33" s="402" t="s">
        <v>255</v>
      </c>
      <c r="I33" s="444" t="s">
        <v>255</v>
      </c>
      <c r="J33" s="402" t="s">
        <v>255</v>
      </c>
      <c r="K33" s="402">
        <v>41</v>
      </c>
      <c r="L33" s="404" t="s">
        <v>165</v>
      </c>
      <c r="M33" s="462" t="s">
        <v>130</v>
      </c>
      <c r="N33" s="369"/>
      <c r="O33" s="369"/>
      <c r="P33" s="375" t="s">
        <v>255</v>
      </c>
      <c r="Q33" s="375" t="s">
        <v>255</v>
      </c>
      <c r="R33" s="375" t="s">
        <v>255</v>
      </c>
      <c r="S33" s="375" t="s">
        <v>255</v>
      </c>
      <c r="T33" s="369"/>
    </row>
    <row r="34" spans="1:20">
      <c r="A34" s="378" t="s">
        <v>131</v>
      </c>
      <c r="B34" s="416" t="s">
        <v>255</v>
      </c>
      <c r="C34" s="445" t="s">
        <v>91</v>
      </c>
      <c r="D34" s="416" t="s">
        <v>255</v>
      </c>
      <c r="E34" s="446" t="s">
        <v>255</v>
      </c>
      <c r="F34" s="416" t="s">
        <v>255</v>
      </c>
      <c r="G34" s="416" t="s">
        <v>255</v>
      </c>
      <c r="H34" s="416" t="s">
        <v>255</v>
      </c>
      <c r="I34" s="416" t="s">
        <v>255</v>
      </c>
      <c r="J34" s="416" t="s">
        <v>255</v>
      </c>
      <c r="K34" s="416">
        <v>44</v>
      </c>
      <c r="L34" s="392" t="s">
        <v>132</v>
      </c>
      <c r="M34" s="461" t="s">
        <v>133</v>
      </c>
      <c r="N34" s="369"/>
      <c r="O34" s="369"/>
      <c r="P34" s="375" t="s">
        <v>255</v>
      </c>
      <c r="Q34" s="375" t="s">
        <v>255</v>
      </c>
      <c r="R34" s="375" t="s">
        <v>255</v>
      </c>
      <c r="S34" s="375" t="s">
        <v>255</v>
      </c>
      <c r="T34" s="369"/>
    </row>
    <row r="35" spans="1:20">
      <c r="A35" s="376" t="s">
        <v>255</v>
      </c>
      <c r="B35" s="417" t="s">
        <v>255</v>
      </c>
      <c r="C35" s="417" t="s">
        <v>255</v>
      </c>
      <c r="D35" s="417" t="s">
        <v>255</v>
      </c>
      <c r="E35" s="447" t="s">
        <v>91</v>
      </c>
      <c r="F35" s="417" t="s">
        <v>255</v>
      </c>
      <c r="G35" s="417" t="s">
        <v>255</v>
      </c>
      <c r="H35" s="417" t="s">
        <v>255</v>
      </c>
      <c r="I35" s="417" t="s">
        <v>255</v>
      </c>
      <c r="J35" s="417" t="s">
        <v>255</v>
      </c>
      <c r="K35" s="417">
        <v>44</v>
      </c>
      <c r="L35" s="448" t="s">
        <v>134</v>
      </c>
      <c r="M35" s="462" t="s">
        <v>135</v>
      </c>
      <c r="N35" s="369"/>
      <c r="O35" s="369"/>
      <c r="P35" s="375" t="s">
        <v>255</v>
      </c>
      <c r="Q35" s="375" t="s">
        <v>255</v>
      </c>
      <c r="R35" s="375" t="s">
        <v>255</v>
      </c>
      <c r="S35" s="375" t="s">
        <v>255</v>
      </c>
      <c r="T35" s="369"/>
    </row>
    <row r="36" spans="1:20">
      <c r="A36" s="377" t="s">
        <v>255</v>
      </c>
      <c r="B36" s="402" t="s">
        <v>255</v>
      </c>
      <c r="C36" s="402" t="s">
        <v>255</v>
      </c>
      <c r="D36" s="402" t="s">
        <v>255</v>
      </c>
      <c r="E36" s="444" t="s">
        <v>255</v>
      </c>
      <c r="F36" s="402" t="s">
        <v>255</v>
      </c>
      <c r="G36" s="402" t="s">
        <v>255</v>
      </c>
      <c r="H36" s="402" t="s">
        <v>255</v>
      </c>
      <c r="I36" s="402" t="s">
        <v>255</v>
      </c>
      <c r="J36" s="449" t="s">
        <v>91</v>
      </c>
      <c r="K36" s="402">
        <v>44</v>
      </c>
      <c r="L36" s="404" t="s">
        <v>136</v>
      </c>
      <c r="M36" s="463" t="s">
        <v>137</v>
      </c>
      <c r="N36" s="369"/>
      <c r="O36" s="369"/>
      <c r="P36" s="375" t="s">
        <v>255</v>
      </c>
      <c r="Q36" s="375" t="s">
        <v>255</v>
      </c>
      <c r="R36" s="375" t="s">
        <v>255</v>
      </c>
      <c r="S36" s="375" t="s">
        <v>255</v>
      </c>
      <c r="T36" s="369"/>
    </row>
    <row r="37" spans="1:20">
      <c r="A37" s="372" t="s">
        <v>172</v>
      </c>
      <c r="B37" s="444" t="s">
        <v>255</v>
      </c>
      <c r="C37" s="402" t="s">
        <v>255</v>
      </c>
      <c r="D37" s="402" t="s">
        <v>255</v>
      </c>
      <c r="E37" s="449" t="s">
        <v>91</v>
      </c>
      <c r="F37" s="402" t="s">
        <v>255</v>
      </c>
      <c r="G37" s="402" t="s">
        <v>255</v>
      </c>
      <c r="H37" s="402" t="s">
        <v>255</v>
      </c>
      <c r="I37" s="402" t="s">
        <v>255</v>
      </c>
      <c r="J37" s="402" t="s">
        <v>255</v>
      </c>
      <c r="K37" s="402">
        <v>50</v>
      </c>
      <c r="L37" s="404" t="s">
        <v>173</v>
      </c>
      <c r="M37" s="462" t="s">
        <v>142</v>
      </c>
      <c r="N37" s="369" t="s">
        <v>255</v>
      </c>
      <c r="O37" s="369" t="s">
        <v>255</v>
      </c>
      <c r="P37" s="375" t="s">
        <v>255</v>
      </c>
      <c r="Q37" s="375" t="s">
        <v>255</v>
      </c>
      <c r="R37" s="375" t="s">
        <v>255</v>
      </c>
      <c r="S37" s="375" t="s">
        <v>255</v>
      </c>
      <c r="T37" s="369"/>
    </row>
    <row r="38" spans="1:20">
      <c r="A38" s="383" t="s">
        <v>174</v>
      </c>
      <c r="B38" s="401" t="s">
        <v>255</v>
      </c>
      <c r="C38" s="402" t="s">
        <v>255</v>
      </c>
      <c r="D38" s="402" t="s">
        <v>255</v>
      </c>
      <c r="E38" s="403" t="s">
        <v>91</v>
      </c>
      <c r="F38" s="402" t="s">
        <v>255</v>
      </c>
      <c r="G38" s="402" t="s">
        <v>255</v>
      </c>
      <c r="H38" s="402" t="s">
        <v>255</v>
      </c>
      <c r="I38" s="402" t="s">
        <v>255</v>
      </c>
      <c r="J38" s="402" t="s">
        <v>255</v>
      </c>
      <c r="K38" s="402">
        <v>50</v>
      </c>
      <c r="L38" s="404" t="s">
        <v>175</v>
      </c>
      <c r="M38" s="390" t="s">
        <v>176</v>
      </c>
      <c r="N38" s="369" t="s">
        <v>255</v>
      </c>
      <c r="O38" s="369" t="s">
        <v>255</v>
      </c>
      <c r="P38" s="375" t="s">
        <v>255</v>
      </c>
      <c r="Q38" s="375" t="s">
        <v>255</v>
      </c>
      <c r="R38" s="375" t="s">
        <v>255</v>
      </c>
      <c r="S38" s="375" t="s">
        <v>255</v>
      </c>
      <c r="T38" s="369"/>
    </row>
    <row r="39" spans="1:20">
      <c r="A39" s="384"/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69"/>
      <c r="N39" s="369"/>
      <c r="O39" s="369"/>
      <c r="P39" s="375" t="s">
        <v>255</v>
      </c>
      <c r="Q39" s="375" t="s">
        <v>255</v>
      </c>
      <c r="R39" s="375" t="s">
        <v>255</v>
      </c>
      <c r="S39" s="375" t="s">
        <v>255</v>
      </c>
      <c r="T39" s="369"/>
    </row>
    <row r="40" spans="1:20">
      <c r="A40" s="385" t="s">
        <v>102</v>
      </c>
      <c r="B40" s="450" t="s">
        <v>91</v>
      </c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69"/>
      <c r="N40" s="369"/>
      <c r="O40" s="369"/>
      <c r="P40" s="369"/>
      <c r="Q40" s="369"/>
      <c r="R40" s="369"/>
      <c r="S40" s="369"/>
      <c r="T40" s="369"/>
    </row>
    <row r="41" spans="1:20">
      <c r="A41" s="385" t="s">
        <v>103</v>
      </c>
      <c r="B41" s="451" t="s">
        <v>91</v>
      </c>
      <c r="C41" s="392"/>
      <c r="D41" s="392"/>
      <c r="E41" s="392"/>
      <c r="F41" s="392"/>
      <c r="G41" s="392"/>
      <c r="H41" s="392"/>
      <c r="I41" s="392"/>
      <c r="J41" s="392"/>
      <c r="K41" s="392"/>
      <c r="L41" s="392"/>
      <c r="M41" s="369"/>
      <c r="N41" s="369"/>
      <c r="O41" s="369"/>
      <c r="P41" s="369"/>
      <c r="Q41" s="369"/>
      <c r="R41" s="369"/>
      <c r="S41" s="369"/>
      <c r="T41" s="369"/>
    </row>
    <row r="42" spans="1:20">
      <c r="A42" s="385" t="s">
        <v>104</v>
      </c>
      <c r="B42" s="452" t="s">
        <v>91</v>
      </c>
      <c r="C42" s="392"/>
      <c r="D42" s="392"/>
      <c r="E42" s="392"/>
      <c r="F42" s="392"/>
      <c r="G42" s="392"/>
      <c r="H42" s="392"/>
      <c r="I42" s="392"/>
      <c r="J42" s="392"/>
      <c r="K42" s="392"/>
      <c r="L42" s="392"/>
      <c r="M42" s="369"/>
      <c r="N42" s="369"/>
      <c r="O42" s="369"/>
      <c r="P42" s="369"/>
      <c r="Q42" s="369"/>
      <c r="R42" s="369"/>
      <c r="S42" s="369"/>
      <c r="T42" s="369"/>
    </row>
    <row r="43" spans="1:20">
      <c r="A43" s="385" t="s">
        <v>105</v>
      </c>
      <c r="B43" s="452" t="s">
        <v>91</v>
      </c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69"/>
      <c r="N43" s="369"/>
      <c r="O43" s="369"/>
      <c r="P43" s="369"/>
      <c r="Q43" s="369"/>
      <c r="R43" s="369"/>
      <c r="S43" s="369"/>
      <c r="T43" s="369"/>
    </row>
    <row r="44" spans="1:20">
      <c r="A44" s="385" t="s">
        <v>177</v>
      </c>
      <c r="B44" s="453" t="s">
        <v>91</v>
      </c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69"/>
      <c r="N44" s="369"/>
      <c r="O44" s="369"/>
      <c r="P44" s="369"/>
      <c r="Q44" s="369"/>
      <c r="R44" s="369"/>
      <c r="S44" s="369"/>
      <c r="T44" s="369"/>
    </row>
    <row r="45" spans="1:20">
      <c r="A45" s="369"/>
      <c r="B45" s="392"/>
      <c r="C45" s="392"/>
      <c r="D45" s="392"/>
      <c r="E45" s="392"/>
      <c r="F45" s="392"/>
      <c r="G45" s="392"/>
      <c r="H45" s="392"/>
      <c r="I45" s="392"/>
      <c r="J45" s="392"/>
      <c r="K45" s="392"/>
      <c r="L45" s="392"/>
      <c r="M45" s="369"/>
      <c r="N45" s="369"/>
      <c r="O45" s="369"/>
      <c r="P45" s="369"/>
      <c r="Q45" s="369"/>
      <c r="R45" s="369"/>
      <c r="S45" s="369"/>
      <c r="T45" s="369"/>
    </row>
    <row r="46" spans="1:20">
      <c r="A46" s="386" t="s">
        <v>178</v>
      </c>
      <c r="B46" s="454"/>
      <c r="C46" s="454"/>
      <c r="D46" s="454"/>
      <c r="E46" s="454"/>
      <c r="F46" s="454"/>
      <c r="G46" s="454"/>
      <c r="H46" s="454"/>
      <c r="I46" s="454"/>
      <c r="J46" s="454"/>
      <c r="K46" s="454"/>
      <c r="L46" s="454"/>
      <c r="M46" s="387"/>
      <c r="N46" s="387"/>
      <c r="O46" s="387"/>
      <c r="P46" s="387"/>
      <c r="Q46" s="387"/>
      <c r="R46" s="387"/>
      <c r="S46" s="387"/>
      <c r="T46" s="387"/>
    </row>
    <row r="47" spans="1:20">
      <c r="A47" s="385"/>
      <c r="B47" s="392"/>
      <c r="C47" s="392"/>
      <c r="D47" s="392"/>
      <c r="E47" s="392"/>
      <c r="F47" s="392"/>
      <c r="G47" s="392"/>
      <c r="H47" s="392"/>
      <c r="I47" s="392"/>
      <c r="J47" s="392"/>
      <c r="K47" s="392"/>
      <c r="L47" s="392"/>
      <c r="M47" s="369"/>
      <c r="N47" s="369"/>
      <c r="O47" s="369"/>
      <c r="P47" s="369"/>
      <c r="Q47" s="369"/>
      <c r="R47" s="369"/>
      <c r="S47" s="369"/>
      <c r="T47" s="369"/>
    </row>
    <row r="48" spans="1:20">
      <c r="A48" s="369"/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M48" s="369"/>
      <c r="N48" s="369"/>
      <c r="O48" s="369"/>
      <c r="P48" s="369"/>
      <c r="Q48" s="369"/>
      <c r="R48" s="369"/>
      <c r="S48" s="369"/>
      <c r="T48" s="369"/>
    </row>
    <row r="49" spans="1:20">
      <c r="A49" s="388"/>
      <c r="B49" s="455"/>
      <c r="C49" s="455"/>
      <c r="D49" s="455"/>
      <c r="E49" s="456"/>
      <c r="F49" s="456"/>
      <c r="G49" s="456"/>
      <c r="H49" s="456"/>
      <c r="I49" s="455"/>
      <c r="J49" s="455"/>
      <c r="K49" s="457"/>
      <c r="L49" s="457"/>
      <c r="M49" s="389"/>
      <c r="N49" s="385"/>
      <c r="O49" s="385"/>
      <c r="P49" s="385"/>
      <c r="Q49" s="385"/>
      <c r="R49" s="385"/>
      <c r="S49" s="385"/>
      <c r="T49" s="385"/>
    </row>
    <row r="50" spans="1:20">
      <c r="A50" s="388"/>
      <c r="B50" s="455"/>
      <c r="C50" s="455"/>
      <c r="D50" s="458"/>
      <c r="E50" s="455"/>
      <c r="F50" s="456"/>
      <c r="G50" s="456"/>
      <c r="H50" s="456"/>
      <c r="I50" s="455"/>
      <c r="J50" s="455"/>
      <c r="K50" s="457"/>
      <c r="L50" s="457"/>
      <c r="M50" s="389"/>
      <c r="N50" s="385"/>
      <c r="O50" s="385"/>
      <c r="P50" s="385"/>
      <c r="Q50" s="385"/>
      <c r="R50" s="385"/>
      <c r="S50" s="385"/>
      <c r="T50" s="385"/>
    </row>
    <row r="51" spans="1:20">
      <c r="A51" s="389"/>
      <c r="B51" s="455"/>
      <c r="C51" s="455"/>
      <c r="D51" s="458"/>
      <c r="E51" s="456"/>
      <c r="F51" s="456"/>
      <c r="G51" s="456"/>
      <c r="H51" s="456"/>
      <c r="I51" s="455"/>
      <c r="J51" s="455"/>
      <c r="K51" s="457"/>
      <c r="L51" s="457"/>
      <c r="M51" s="389"/>
      <c r="N51" s="385"/>
      <c r="O51" s="385"/>
      <c r="P51" s="385"/>
      <c r="Q51" s="385"/>
      <c r="R51" s="385"/>
      <c r="S51" s="385"/>
      <c r="T51" s="385"/>
    </row>
  </sheetData>
  <hyperlinks>
    <hyperlink ref="A46" r:id="rId1" display="https://www.google.com/url?sa=t&amp;rct=j&amp;q=&amp;esrc=s&amp;source=web&amp;cd=&amp;ved=2ahUKEwjK6KOD1p_3AhUFgP0HHa4zDW4QFnoECAUQAQ&amp;url=https%3A%2F%2Fbygningsreglementet.dk%2F-%2Fmedia%2FBr%2FKap_5_Brand%2FVejledninger%2FGenerel-vejledning%2FKapitel-7%2FKapitel-7-Drift-kontrol-og-vedligehold-20200103.pdf&amp;usg=AOvVaw0ZRm4tG4Cy9SOH18uiBJJ0" xr:uid="{31436FC3-6921-4724-BE51-58C7E31D517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211A0-E6DD-458B-AD04-07807BB455C9}">
  <dimension ref="A1:X30"/>
  <sheetViews>
    <sheetView topLeftCell="A2" workbookViewId="0">
      <selection activeCell="A2" sqref="A2"/>
    </sheetView>
  </sheetViews>
  <sheetFormatPr defaultRowHeight="15"/>
  <cols>
    <col min="1" max="1" width="18" customWidth="1"/>
    <col min="2" max="22" width="4" customWidth="1"/>
    <col min="23" max="23" width="5.5703125" customWidth="1"/>
    <col min="24" max="24" width="18.85546875" customWidth="1"/>
  </cols>
  <sheetData>
    <row r="1" spans="1:24" ht="26.25">
      <c r="A1" s="126" t="s">
        <v>77</v>
      </c>
    </row>
    <row r="2" spans="1:24" ht="54">
      <c r="A2" s="127">
        <v>2024</v>
      </c>
      <c r="B2" s="128" t="s">
        <v>78</v>
      </c>
      <c r="C2" s="128" t="s">
        <v>79</v>
      </c>
      <c r="D2" s="128" t="s">
        <v>80</v>
      </c>
      <c r="E2" s="128" t="s">
        <v>81</v>
      </c>
      <c r="F2" s="128" t="s">
        <v>82</v>
      </c>
      <c r="G2" s="128" t="s">
        <v>83</v>
      </c>
      <c r="H2" s="128" t="s">
        <v>84</v>
      </c>
      <c r="I2" s="128" t="s">
        <v>85</v>
      </c>
      <c r="J2" s="128" t="s">
        <v>86</v>
      </c>
      <c r="K2" s="129" t="s">
        <v>87</v>
      </c>
      <c r="L2" s="129" t="s">
        <v>17</v>
      </c>
      <c r="M2" s="129" t="s">
        <v>18</v>
      </c>
      <c r="N2" s="129" t="s">
        <v>19</v>
      </c>
      <c r="O2" s="129" t="s">
        <v>88</v>
      </c>
      <c r="P2" s="129" t="s">
        <v>21</v>
      </c>
      <c r="Q2" s="129" t="s">
        <v>22</v>
      </c>
      <c r="R2" s="129" t="s">
        <v>23</v>
      </c>
      <c r="S2" s="129" t="s">
        <v>24</v>
      </c>
      <c r="T2" s="129" t="s">
        <v>25</v>
      </c>
      <c r="U2" s="129" t="s">
        <v>26</v>
      </c>
      <c r="V2" s="130" t="s">
        <v>27</v>
      </c>
      <c r="W2" s="130" t="s">
        <v>89</v>
      </c>
      <c r="X2" s="131" t="s">
        <v>52</v>
      </c>
    </row>
    <row r="3" spans="1:24">
      <c r="A3" s="132" t="s">
        <v>90</v>
      </c>
      <c r="B3" s="133" t="s">
        <v>91</v>
      </c>
      <c r="C3" s="134"/>
      <c r="D3" s="134"/>
      <c r="E3" s="134"/>
      <c r="F3" s="134"/>
      <c r="G3" s="134"/>
      <c r="H3" s="134"/>
      <c r="I3" s="134"/>
      <c r="J3" s="135"/>
      <c r="K3" s="136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8"/>
      <c r="W3" s="138" t="s">
        <v>54</v>
      </c>
      <c r="X3" s="139"/>
    </row>
    <row r="4" spans="1:24">
      <c r="A4" s="132" t="s">
        <v>30</v>
      </c>
      <c r="B4" s="134"/>
      <c r="C4" s="134"/>
      <c r="D4" s="134"/>
      <c r="E4" s="134"/>
      <c r="F4" s="140" t="s">
        <v>91</v>
      </c>
      <c r="G4" s="134"/>
      <c r="H4" s="134"/>
      <c r="I4" s="134"/>
      <c r="J4" s="135"/>
      <c r="K4" s="141"/>
      <c r="L4" s="142"/>
      <c r="M4" s="263"/>
      <c r="N4" s="142">
        <v>2022</v>
      </c>
      <c r="O4" s="142"/>
      <c r="P4" s="142"/>
      <c r="Q4" s="143"/>
      <c r="R4" s="143"/>
      <c r="S4" s="144"/>
      <c r="T4" s="142"/>
      <c r="U4" s="142"/>
      <c r="V4" s="145"/>
      <c r="W4" s="145"/>
      <c r="X4" s="146" t="s">
        <v>101</v>
      </c>
    </row>
    <row r="5" spans="1:24">
      <c r="A5" s="147" t="s">
        <v>92</v>
      </c>
      <c r="B5" s="148" t="s">
        <v>91</v>
      </c>
      <c r="C5" s="149"/>
      <c r="D5" s="149"/>
      <c r="E5" s="149"/>
      <c r="F5" s="149"/>
      <c r="G5" s="149"/>
      <c r="H5" s="149"/>
      <c r="I5" s="149"/>
      <c r="J5" s="150"/>
      <c r="K5" s="151" t="s">
        <v>91</v>
      </c>
      <c r="L5" s="152" t="s">
        <v>91</v>
      </c>
      <c r="M5" s="152" t="s">
        <v>91</v>
      </c>
      <c r="N5" s="152" t="s">
        <v>91</v>
      </c>
      <c r="O5" s="152" t="s">
        <v>91</v>
      </c>
      <c r="P5" s="152" t="s">
        <v>91</v>
      </c>
      <c r="Q5" s="153" t="s">
        <v>91</v>
      </c>
      <c r="R5" s="153" t="s">
        <v>91</v>
      </c>
      <c r="S5" s="154" t="s">
        <v>91</v>
      </c>
      <c r="T5" s="152" t="s">
        <v>91</v>
      </c>
      <c r="U5" s="152" t="s">
        <v>91</v>
      </c>
      <c r="V5" s="152" t="s">
        <v>91</v>
      </c>
      <c r="W5" s="155" t="s">
        <v>54</v>
      </c>
      <c r="X5" s="156"/>
    </row>
    <row r="6" spans="1:24">
      <c r="A6" s="157"/>
      <c r="B6" s="158"/>
      <c r="C6" s="159"/>
      <c r="D6" s="159"/>
      <c r="E6" s="160" t="s">
        <v>91</v>
      </c>
      <c r="F6" s="159"/>
      <c r="G6" s="159"/>
      <c r="H6" s="159"/>
      <c r="I6" s="159"/>
      <c r="J6" s="161"/>
      <c r="K6" s="158"/>
      <c r="L6" s="162"/>
      <c r="M6" s="162"/>
      <c r="N6" s="162"/>
      <c r="O6" s="162"/>
      <c r="P6" s="162"/>
      <c r="Q6" s="163"/>
      <c r="R6" s="163" t="s">
        <v>93</v>
      </c>
      <c r="S6" s="164"/>
      <c r="T6" s="162"/>
      <c r="U6" s="162"/>
      <c r="V6" s="162"/>
      <c r="W6" s="165"/>
      <c r="X6" s="262" t="s">
        <v>64</v>
      </c>
    </row>
    <row r="7" spans="1:24">
      <c r="A7" s="166"/>
      <c r="B7" s="167"/>
      <c r="C7" s="168"/>
      <c r="D7" s="168"/>
      <c r="E7" s="169" t="s">
        <v>91</v>
      </c>
      <c r="F7" s="168"/>
      <c r="G7" s="168"/>
      <c r="H7" s="168"/>
      <c r="I7" s="168"/>
      <c r="J7" s="170"/>
      <c r="K7" s="281"/>
      <c r="L7" s="282"/>
      <c r="M7" s="282"/>
      <c r="N7" s="282"/>
      <c r="O7" s="282"/>
      <c r="P7" s="282"/>
      <c r="Q7" s="283" t="s">
        <v>93</v>
      </c>
      <c r="R7" s="284"/>
      <c r="S7" s="285"/>
      <c r="T7" s="282"/>
      <c r="U7" s="282"/>
      <c r="V7" s="282"/>
      <c r="W7" s="286"/>
      <c r="X7" s="267" t="s">
        <v>60</v>
      </c>
    </row>
    <row r="8" spans="1:24">
      <c r="A8" s="173" t="s">
        <v>95</v>
      </c>
      <c r="B8" s="174"/>
      <c r="C8" s="175" t="s">
        <v>91</v>
      </c>
      <c r="D8" s="174"/>
      <c r="E8" s="174"/>
      <c r="F8" s="174"/>
      <c r="G8" s="174"/>
      <c r="H8" s="174"/>
      <c r="I8" s="174"/>
      <c r="J8" s="278"/>
      <c r="K8" s="270"/>
      <c r="L8" s="271" t="s">
        <v>91</v>
      </c>
      <c r="M8" s="271"/>
      <c r="N8" s="271"/>
      <c r="O8" s="271" t="s">
        <v>91</v>
      </c>
      <c r="P8" s="271"/>
      <c r="Q8" s="271"/>
      <c r="R8" s="271" t="s">
        <v>91</v>
      </c>
      <c r="S8" s="271"/>
      <c r="T8" s="271"/>
      <c r="U8" s="271" t="s">
        <v>91</v>
      </c>
      <c r="V8" s="272"/>
      <c r="W8" s="273" t="s">
        <v>54</v>
      </c>
      <c r="X8" s="280"/>
    </row>
    <row r="9" spans="1:24">
      <c r="A9" s="173" t="s">
        <v>96</v>
      </c>
      <c r="B9" s="180"/>
      <c r="C9" s="180"/>
      <c r="D9" s="180"/>
      <c r="E9" s="181"/>
      <c r="F9" s="182" t="s">
        <v>91</v>
      </c>
      <c r="G9" s="180"/>
      <c r="H9" s="180"/>
      <c r="I9" s="180"/>
      <c r="J9" s="279"/>
      <c r="K9" s="274"/>
      <c r="L9" s="275"/>
      <c r="M9" s="275"/>
      <c r="N9" s="275"/>
      <c r="O9" s="275"/>
      <c r="P9" s="275"/>
      <c r="Q9" s="275"/>
      <c r="R9" s="275" t="s">
        <v>93</v>
      </c>
      <c r="S9" s="275"/>
      <c r="T9" s="275"/>
      <c r="U9" s="275"/>
      <c r="V9" s="276"/>
      <c r="W9" s="277"/>
      <c r="X9" s="262" t="s">
        <v>64</v>
      </c>
    </row>
    <row r="10" spans="1:24">
      <c r="A10" s="147" t="s">
        <v>97</v>
      </c>
      <c r="B10" s="187"/>
      <c r="C10" s="188" t="s">
        <v>91</v>
      </c>
      <c r="D10" s="189"/>
      <c r="E10" s="149"/>
      <c r="F10" s="190"/>
      <c r="G10" s="189"/>
      <c r="H10" s="189"/>
      <c r="I10" s="189"/>
      <c r="J10" s="191"/>
      <c r="K10" s="287" t="s">
        <v>91</v>
      </c>
      <c r="L10" s="288"/>
      <c r="M10" s="288"/>
      <c r="N10" s="288" t="s">
        <v>91</v>
      </c>
      <c r="O10" s="288"/>
      <c r="P10" s="288"/>
      <c r="Q10" s="288" t="s">
        <v>91</v>
      </c>
      <c r="R10" s="288"/>
      <c r="S10" s="288"/>
      <c r="T10" s="288" t="s">
        <v>91</v>
      </c>
      <c r="U10" s="288"/>
      <c r="V10" s="288"/>
      <c r="W10" s="289" t="s">
        <v>54</v>
      </c>
      <c r="X10" s="193"/>
    </row>
    <row r="11" spans="1:24">
      <c r="A11" s="157" t="s">
        <v>98</v>
      </c>
      <c r="B11" s="194"/>
      <c r="C11" s="195"/>
      <c r="D11" s="195"/>
      <c r="E11" s="160" t="s">
        <v>91</v>
      </c>
      <c r="F11" s="196"/>
      <c r="G11" s="195"/>
      <c r="H11" s="195"/>
      <c r="I11" s="195"/>
      <c r="J11" s="197"/>
      <c r="K11" s="198"/>
      <c r="L11" s="162"/>
      <c r="M11" s="162"/>
      <c r="N11" s="162"/>
      <c r="O11" s="162"/>
      <c r="P11" s="162"/>
      <c r="Q11" s="162"/>
      <c r="R11" s="162" t="s">
        <v>93</v>
      </c>
      <c r="S11" s="164"/>
      <c r="T11" s="162"/>
      <c r="U11" s="162"/>
      <c r="V11" s="162"/>
      <c r="W11" s="165"/>
      <c r="X11" s="262" t="s">
        <v>64</v>
      </c>
    </row>
    <row r="12" spans="1:24">
      <c r="A12" s="166"/>
      <c r="B12" s="199"/>
      <c r="C12" s="200"/>
      <c r="D12" s="200"/>
      <c r="E12" s="169" t="s">
        <v>91</v>
      </c>
      <c r="F12" s="201"/>
      <c r="G12" s="200"/>
      <c r="H12" s="202"/>
      <c r="I12" s="200"/>
      <c r="J12" s="203"/>
      <c r="K12" s="204"/>
      <c r="L12" s="171"/>
      <c r="M12" s="171"/>
      <c r="N12" s="171"/>
      <c r="O12" s="171"/>
      <c r="P12" s="171"/>
      <c r="Q12" s="266" t="s">
        <v>93</v>
      </c>
      <c r="R12" s="171"/>
      <c r="S12" s="171"/>
      <c r="T12" s="171"/>
      <c r="U12" s="171"/>
      <c r="V12" s="171"/>
      <c r="W12" s="172"/>
      <c r="X12" s="267" t="s">
        <v>60</v>
      </c>
    </row>
    <row r="13" spans="1:24">
      <c r="A13" s="173" t="s">
        <v>99</v>
      </c>
      <c r="B13" s="205" t="s">
        <v>91</v>
      </c>
      <c r="C13" s="206"/>
      <c r="D13" s="206"/>
      <c r="E13" s="206"/>
      <c r="F13" s="207"/>
      <c r="G13" s="207"/>
      <c r="H13" s="207"/>
      <c r="I13" s="207"/>
      <c r="J13" s="208"/>
      <c r="K13" s="176" t="s">
        <v>91</v>
      </c>
      <c r="L13" s="177" t="s">
        <v>91</v>
      </c>
      <c r="M13" s="177" t="s">
        <v>91</v>
      </c>
      <c r="N13" s="177" t="s">
        <v>91</v>
      </c>
      <c r="O13" s="177" t="s">
        <v>91</v>
      </c>
      <c r="P13" s="177" t="s">
        <v>91</v>
      </c>
      <c r="Q13" s="177" t="s">
        <v>91</v>
      </c>
      <c r="R13" s="177" t="s">
        <v>91</v>
      </c>
      <c r="S13" s="177" t="s">
        <v>91</v>
      </c>
      <c r="T13" s="177" t="s">
        <v>91</v>
      </c>
      <c r="U13" s="177" t="s">
        <v>91</v>
      </c>
      <c r="V13" s="178" t="s">
        <v>91</v>
      </c>
      <c r="W13" s="178" t="s">
        <v>54</v>
      </c>
      <c r="X13" s="179"/>
    </row>
    <row r="14" spans="1:24">
      <c r="A14" s="173" t="s">
        <v>100</v>
      </c>
      <c r="B14" s="209"/>
      <c r="C14" s="209"/>
      <c r="D14" s="210" t="s">
        <v>91</v>
      </c>
      <c r="E14" s="209"/>
      <c r="F14" s="209"/>
      <c r="G14" s="209"/>
      <c r="H14" s="209"/>
      <c r="I14" s="209"/>
      <c r="J14" s="211"/>
      <c r="K14" s="212" t="s">
        <v>91</v>
      </c>
      <c r="L14" s="213"/>
      <c r="M14" s="213"/>
      <c r="N14" s="213"/>
      <c r="O14" s="213"/>
      <c r="P14" s="213"/>
      <c r="Q14" s="213" t="s">
        <v>91</v>
      </c>
      <c r="R14" s="213"/>
      <c r="S14" s="213"/>
      <c r="T14" s="213"/>
      <c r="U14" s="213"/>
      <c r="V14" s="214"/>
      <c r="W14" s="214" t="s">
        <v>54</v>
      </c>
      <c r="X14" s="215"/>
    </row>
    <row r="15" spans="1:24">
      <c r="A15" s="173"/>
      <c r="B15" s="209"/>
      <c r="C15" s="209"/>
      <c r="D15" s="209"/>
      <c r="E15" s="209"/>
      <c r="F15" s="216" t="s">
        <v>91</v>
      </c>
      <c r="G15" s="209"/>
      <c r="H15" s="209"/>
      <c r="I15" s="209"/>
      <c r="J15" s="211"/>
      <c r="K15" s="217"/>
      <c r="L15" s="218"/>
      <c r="M15" s="264"/>
      <c r="N15" s="218">
        <v>2024</v>
      </c>
      <c r="O15" s="218"/>
      <c r="P15" s="218"/>
      <c r="Q15" s="219"/>
      <c r="R15" s="218"/>
      <c r="S15" s="218"/>
      <c r="T15" s="218"/>
      <c r="U15" s="218"/>
      <c r="V15" s="220"/>
      <c r="W15" s="220"/>
      <c r="X15" s="268" t="s">
        <v>101</v>
      </c>
    </row>
    <row r="16" spans="1:24">
      <c r="A16" s="222"/>
      <c r="B16" s="223"/>
      <c r="C16" s="223"/>
      <c r="D16" s="223"/>
      <c r="E16" s="223"/>
      <c r="F16" s="223"/>
      <c r="G16" s="223"/>
      <c r="H16" s="224" t="s">
        <v>91</v>
      </c>
      <c r="I16" s="223"/>
      <c r="J16" s="225"/>
      <c r="K16" s="226"/>
      <c r="L16" s="227"/>
      <c r="M16" s="265"/>
      <c r="N16" s="227">
        <v>2024</v>
      </c>
      <c r="O16" s="227"/>
      <c r="P16" s="227"/>
      <c r="Q16" s="227"/>
      <c r="R16" s="227"/>
      <c r="S16" s="227"/>
      <c r="T16" s="227"/>
      <c r="U16" s="223"/>
      <c r="V16" s="228"/>
      <c r="W16" s="228"/>
      <c r="X16" s="269" t="s">
        <v>101</v>
      </c>
    </row>
    <row r="17" spans="1:24">
      <c r="A17" s="230" t="s">
        <v>40</v>
      </c>
      <c r="B17" s="189"/>
      <c r="C17" s="231" t="s">
        <v>91</v>
      </c>
      <c r="D17" s="232"/>
      <c r="E17" s="233"/>
      <c r="F17" s="232"/>
      <c r="G17" s="232"/>
      <c r="H17" s="232"/>
      <c r="I17" s="232"/>
      <c r="J17" s="234"/>
      <c r="K17" s="235" t="s">
        <v>91</v>
      </c>
      <c r="L17" s="236"/>
      <c r="M17" s="236"/>
      <c r="N17" s="236" t="s">
        <v>91</v>
      </c>
      <c r="O17" s="236"/>
      <c r="P17" s="236"/>
      <c r="Q17" s="236" t="s">
        <v>91</v>
      </c>
      <c r="R17" s="236"/>
      <c r="S17" s="236"/>
      <c r="T17" s="236" t="s">
        <v>91</v>
      </c>
      <c r="U17" s="236"/>
      <c r="V17" s="237"/>
      <c r="W17" s="237" t="s">
        <v>54</v>
      </c>
      <c r="X17" s="238"/>
    </row>
    <row r="18" spans="1:24">
      <c r="A18" s="239"/>
      <c r="B18" s="209"/>
      <c r="C18" s="209"/>
      <c r="D18" s="240"/>
      <c r="E18" s="160" t="s">
        <v>91</v>
      </c>
      <c r="F18" s="241"/>
      <c r="G18" s="209"/>
      <c r="H18" s="209"/>
      <c r="I18" s="209"/>
      <c r="J18" s="211"/>
      <c r="K18" s="217"/>
      <c r="L18" s="218"/>
      <c r="M18" s="218"/>
      <c r="N18" s="218"/>
      <c r="O18" s="218"/>
      <c r="P18" s="218"/>
      <c r="Q18" s="218"/>
      <c r="R18" s="218"/>
      <c r="S18" s="218">
        <v>2024</v>
      </c>
      <c r="T18" s="218"/>
      <c r="U18" s="218"/>
      <c r="V18" s="220"/>
      <c r="W18" s="220"/>
      <c r="X18" s="221" t="s">
        <v>65</v>
      </c>
    </row>
    <row r="19" spans="1:24">
      <c r="A19" s="222"/>
      <c r="B19" s="223"/>
      <c r="C19" s="223"/>
      <c r="D19" s="223"/>
      <c r="E19" s="242"/>
      <c r="F19" s="223"/>
      <c r="G19" s="223"/>
      <c r="H19" s="223"/>
      <c r="I19" s="243" t="s">
        <v>91</v>
      </c>
      <c r="J19" s="225"/>
      <c r="K19" s="226"/>
      <c r="L19" s="227"/>
      <c r="M19" s="227"/>
      <c r="N19" s="227"/>
      <c r="O19" s="227"/>
      <c r="P19" s="227"/>
      <c r="Q19" s="227"/>
      <c r="R19" s="227"/>
      <c r="S19" s="227">
        <v>2024</v>
      </c>
      <c r="T19" s="227"/>
      <c r="U19" s="227"/>
      <c r="V19" s="228"/>
      <c r="W19" s="228"/>
      <c r="X19" s="229" t="s">
        <v>65</v>
      </c>
    </row>
    <row r="20" spans="1:24">
      <c r="A20" s="244" t="s">
        <v>42</v>
      </c>
      <c r="B20" s="189"/>
      <c r="C20" s="231" t="s">
        <v>91</v>
      </c>
      <c r="D20" s="245"/>
      <c r="E20" s="245"/>
      <c r="F20" s="245"/>
      <c r="G20" s="245"/>
      <c r="H20" s="245"/>
      <c r="I20" s="245"/>
      <c r="J20" s="246"/>
      <c r="K20" s="235" t="s">
        <v>91</v>
      </c>
      <c r="L20" s="236"/>
      <c r="M20" s="236"/>
      <c r="N20" s="236" t="s">
        <v>91</v>
      </c>
      <c r="O20" s="236"/>
      <c r="P20" s="236"/>
      <c r="Q20" s="236" t="s">
        <v>91</v>
      </c>
      <c r="R20" s="236"/>
      <c r="S20" s="236"/>
      <c r="T20" s="236" t="s">
        <v>91</v>
      </c>
      <c r="U20" s="236"/>
      <c r="V20" s="237"/>
      <c r="W20" s="237" t="s">
        <v>54</v>
      </c>
      <c r="X20" s="238"/>
    </row>
    <row r="21" spans="1:24">
      <c r="A21" s="247"/>
      <c r="B21" s="248"/>
      <c r="C21" s="248"/>
      <c r="D21" s="248"/>
      <c r="E21" s="182" t="s">
        <v>91</v>
      </c>
      <c r="F21" s="248"/>
      <c r="G21" s="248"/>
      <c r="H21" s="248"/>
      <c r="I21" s="248"/>
      <c r="J21" s="249"/>
      <c r="K21" s="217"/>
      <c r="L21" s="218"/>
      <c r="M21" s="218"/>
      <c r="N21" s="218"/>
      <c r="O21" s="218"/>
      <c r="P21" s="218"/>
      <c r="Q21" s="218"/>
      <c r="R21" s="218"/>
      <c r="S21" s="218">
        <v>2024</v>
      </c>
      <c r="T21" s="218"/>
      <c r="U21" s="218"/>
      <c r="V21" s="220"/>
      <c r="W21" s="220"/>
      <c r="X21" s="221" t="s">
        <v>65</v>
      </c>
    </row>
    <row r="22" spans="1:24">
      <c r="A22" s="250"/>
      <c r="B22" s="180"/>
      <c r="C22" s="180"/>
      <c r="D22" s="180"/>
      <c r="E22" s="180"/>
      <c r="F22" s="180"/>
      <c r="G22" s="180"/>
      <c r="H22" s="180"/>
      <c r="I22" s="182" t="s">
        <v>91</v>
      </c>
      <c r="J22" s="251" t="s">
        <v>91</v>
      </c>
      <c r="K22" s="183"/>
      <c r="L22" s="184"/>
      <c r="M22" s="184"/>
      <c r="N22" s="184"/>
      <c r="O22" s="184"/>
      <c r="P22" s="184"/>
      <c r="Q22" s="184"/>
      <c r="R22" s="184"/>
      <c r="S22" s="184">
        <v>2024</v>
      </c>
      <c r="T22" s="184"/>
      <c r="U22" s="184"/>
      <c r="V22" s="185"/>
      <c r="W22" s="185"/>
      <c r="X22" s="186" t="s">
        <v>65</v>
      </c>
    </row>
    <row r="23" spans="1:24">
      <c r="A23" s="252" t="s">
        <v>44</v>
      </c>
      <c r="B23" s="189"/>
      <c r="C23" s="148" t="s">
        <v>91</v>
      </c>
      <c r="D23" s="189"/>
      <c r="E23" s="189"/>
      <c r="F23" s="189"/>
      <c r="G23" s="189"/>
      <c r="H23" s="189"/>
      <c r="I23" s="189"/>
      <c r="J23" s="191"/>
      <c r="K23" s="192" t="s">
        <v>91</v>
      </c>
      <c r="L23" s="152"/>
      <c r="M23" s="152"/>
      <c r="N23" s="152" t="s">
        <v>91</v>
      </c>
      <c r="O23" s="152"/>
      <c r="P23" s="152"/>
      <c r="Q23" s="152" t="s">
        <v>91</v>
      </c>
      <c r="R23" s="152"/>
      <c r="S23" s="152"/>
      <c r="T23" s="152" t="s">
        <v>91</v>
      </c>
      <c r="U23" s="152"/>
      <c r="V23" s="152"/>
      <c r="W23" s="152" t="s">
        <v>54</v>
      </c>
      <c r="X23" s="253"/>
    </row>
    <row r="24" spans="1:24">
      <c r="A24" s="254"/>
      <c r="B24" s="255"/>
      <c r="C24" s="256"/>
      <c r="D24" s="256"/>
      <c r="E24" s="257" t="s">
        <v>91</v>
      </c>
      <c r="F24" s="256"/>
      <c r="G24" s="256"/>
      <c r="H24" s="256"/>
      <c r="I24" s="256"/>
      <c r="J24" s="258"/>
      <c r="K24" s="259"/>
      <c r="L24" s="260"/>
      <c r="M24" s="260"/>
      <c r="N24" s="260"/>
      <c r="O24" s="260"/>
      <c r="P24" s="260"/>
      <c r="Q24" s="260"/>
      <c r="R24" s="260"/>
      <c r="S24" s="466">
        <v>2024</v>
      </c>
      <c r="T24" s="260"/>
      <c r="U24" s="260"/>
      <c r="V24" s="260"/>
      <c r="W24" s="260"/>
      <c r="X24" s="261" t="s">
        <v>65</v>
      </c>
    </row>
    <row r="25" spans="1:24">
      <c r="A25" s="1"/>
      <c r="B25" s="1"/>
      <c r="C25" s="1"/>
      <c r="D25" s="1"/>
      <c r="E25" s="1"/>
      <c r="F25" s="1"/>
      <c r="G25" s="1"/>
      <c r="H25" s="1"/>
      <c r="I25" s="1"/>
      <c r="J25" s="1"/>
      <c r="W25" s="17"/>
    </row>
    <row r="26" spans="1:24">
      <c r="A26" s="16" t="s">
        <v>102</v>
      </c>
      <c r="C26" s="1"/>
      <c r="D26" s="93" t="s">
        <v>91</v>
      </c>
      <c r="E26" s="1"/>
      <c r="F26" s="1"/>
      <c r="G26" s="1"/>
      <c r="H26" s="1"/>
      <c r="I26" s="1"/>
      <c r="J26" s="1"/>
      <c r="W26" s="17"/>
    </row>
    <row r="27" spans="1:24">
      <c r="A27" s="16" t="s">
        <v>103</v>
      </c>
      <c r="C27" s="1"/>
      <c r="D27" s="94" t="s">
        <v>91</v>
      </c>
      <c r="E27" s="1"/>
      <c r="F27" s="1"/>
      <c r="G27" s="1"/>
      <c r="H27" s="1"/>
      <c r="I27" s="1"/>
      <c r="J27" s="1"/>
      <c r="W27" s="17"/>
    </row>
    <row r="28" spans="1:24">
      <c r="A28" s="16" t="s">
        <v>104</v>
      </c>
      <c r="C28" s="1"/>
      <c r="D28" s="95" t="s">
        <v>91</v>
      </c>
      <c r="E28" s="1"/>
      <c r="F28" s="1"/>
      <c r="G28" s="1"/>
      <c r="H28" s="1"/>
      <c r="I28" s="1"/>
      <c r="J28" s="1"/>
      <c r="W28" s="17"/>
    </row>
    <row r="29" spans="1:24">
      <c r="A29" s="16" t="s">
        <v>105</v>
      </c>
      <c r="C29" s="1"/>
      <c r="D29" s="95" t="s">
        <v>91</v>
      </c>
      <c r="E29" s="1"/>
      <c r="F29" s="1"/>
      <c r="G29" s="1"/>
      <c r="H29" s="1"/>
      <c r="I29" s="1"/>
      <c r="J29" s="1"/>
      <c r="W29" s="17"/>
    </row>
    <row r="30" spans="1:24">
      <c r="A30" s="1" t="s">
        <v>106</v>
      </c>
      <c r="D30" s="96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Props1.xml><?xml version="1.0" encoding="utf-8"?>
<ds:datastoreItem xmlns:ds="http://schemas.openxmlformats.org/officeDocument/2006/customXml" ds:itemID="{311E18F3-1B04-4C2A-9F53-8518E3D6BB54}"/>
</file>

<file path=customXml/itemProps2.xml><?xml version="1.0" encoding="utf-8"?>
<ds:datastoreItem xmlns:ds="http://schemas.openxmlformats.org/officeDocument/2006/customXml" ds:itemID="{842B0A16-4AA9-4CD2-B07C-2BF3CF040291}"/>
</file>

<file path=customXml/itemProps3.xml><?xml version="1.0" encoding="utf-8"?>
<ds:datastoreItem xmlns:ds="http://schemas.openxmlformats.org/officeDocument/2006/customXml" ds:itemID="{FB917D9F-A523-4CAE-9D85-7597E8DAD1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Lasse Schmidt Almlund (lalml)</dc:creator>
  <cp:keywords/>
  <dc:description/>
  <cp:lastModifiedBy/>
  <cp:revision/>
  <dcterms:created xsi:type="dcterms:W3CDTF">2022-04-19T05:51:54Z</dcterms:created>
  <dcterms:modified xsi:type="dcterms:W3CDTF">2025-11-25T09:12:47Z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  <property fmtid="{D5CDD505-2E9C-101B-9397-08002B2CF9AE}" pid="3" name="MediaServiceImageTags">
    <vt:lpwstr/>
  </property>
</Properties>
</file>